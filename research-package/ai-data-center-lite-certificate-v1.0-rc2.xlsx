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te Certific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4"/>
    </font>
    <font>
      <name val="Carlito"/>
      <b val="1"/>
      <color rgb="FF172033"/>
      <sz val="11"/>
    </font>
    <font>
      <name val="Carlito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72033"/>
      </patternFill>
    </fill>
    <fill>
      <patternFill patternType="solid">
        <fgColor rgb="FFFFF2E8"/>
      </patternFill>
    </fill>
    <fill>
      <patternFill patternType="solid">
        <fgColor rgb="FF0F6B63"/>
      </patternFill>
    </fill>
    <fill>
      <patternFill patternType="solid">
        <fgColor rgb="FFFFF7D6"/>
      </patternFill>
    </fill>
    <fill>
      <patternFill patternType="solid">
        <fgColor rgb="FFE7F3F5"/>
      </patternFill>
    </fill>
  </fills>
  <borders count="1"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0" fillId="5" borderId="0" pivotButton="0" quotePrefix="0" xfId="0"/>
    <xf numFmtId="0" fontId="0" fillId="6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5" borderId="0" applyAlignment="1" applyProtection="1" pivotButton="0" quotePrefix="0" xfId="0">
      <alignment wrapText="1"/>
      <protection locked="0" hidden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1.11000061035156" customWidth="1" min="1" max="1"/>
    <col width="21.11000061035156" customWidth="1" min="2" max="2"/>
    <col width="26.67000007629395" customWidth="1" min="4" max="4"/>
    <col width="26.67000007629395" customWidth="1" min="5" max="5"/>
    <col width="26.67000007629395" customWidth="1" min="6" max="6"/>
  </cols>
  <sheetData>
    <row r="1" ht="27" customHeight="1">
      <c r="A1" s="4" t="inlineStr">
        <is>
          <t>Liquidity Happy Hours: AI Data Center Lite Ledger Certificate</t>
        </is>
      </c>
    </row>
    <row r="2" ht="22.5" customHeight="1">
      <c r="A2" s="13" t="inlineStr">
        <is>
          <t>Working public review tool. Not a legal filing, expert report, or commission-ready evidentiary record.</t>
        </is>
      </c>
    </row>
    <row r="3" ht="15" customHeight="1">
      <c r="A3" s="14" t="n"/>
      <c r="B3" s="14" t="n"/>
      <c r="C3" s="14" t="n"/>
      <c r="D3" s="14" t="n"/>
      <c r="E3" s="14" t="n"/>
      <c r="F3" s="14" t="n"/>
    </row>
    <row r="4" ht="31.5" customHeight="1">
      <c r="A4" s="14" t="inlineStr">
        <is>
          <t>Project name</t>
        </is>
      </c>
      <c r="B4" s="17" t="str"/>
      <c r="C4" s="14" t="n"/>
      <c r="D4" s="10" t="inlineStr">
        <is>
          <t>If unresolved, ask these next</t>
        </is>
      </c>
    </row>
    <row r="5" ht="31.5" customHeight="1">
      <c r="A5" s="14" t="inlineStr">
        <is>
          <t>Project MW</t>
        </is>
      </c>
      <c r="B5" s="17" t="str"/>
      <c r="C5" s="14" t="n"/>
      <c r="D5" s="16">
        <f>IF(B6&lt;&gt;"Y","Which legal entity signs the payment obligation?","")</f>
        <v/>
      </c>
    </row>
    <row r="6" ht="31.5" customHeight="1">
      <c r="A6" s="14" t="inlineStr">
        <is>
          <t>Legal payer named? (Y/N/Unknown)</t>
        </is>
      </c>
      <c r="B6" s="17" t="inlineStr">
        <is>
          <t>Unknown</t>
        </is>
      </c>
      <c r="C6" s="14" t="n"/>
      <c r="D6" s="16">
        <f>IF(B7&lt;&gt;"Y","What happens if the project reaches only 60 percent of expected load?","")</f>
        <v/>
      </c>
    </row>
    <row r="7" ht="31.5" customHeight="1">
      <c r="A7" s="14" t="inlineStr">
        <is>
          <t>60 percent load stress covered? (Y/N/Unknown)</t>
        </is>
      </c>
      <c r="B7" s="17" t="inlineStr">
        <is>
          <t>Unknown</t>
        </is>
      </c>
      <c r="C7" s="14" t="n"/>
      <c r="D7" s="16">
        <f>IF(B8&lt;&gt;"Y","What happens if the project exits in year five?","")</f>
        <v/>
      </c>
    </row>
    <row r="8" ht="31.5" customHeight="1">
      <c r="A8" s="14" t="inlineStr">
        <is>
          <t>Year-five exit exposure covered? (Y/N/Unknown)</t>
        </is>
      </c>
      <c r="B8" s="17" t="inlineStr">
        <is>
          <t>Unknown</t>
        </is>
      </c>
      <c r="C8" s="14" t="n"/>
      <c r="D8" s="16">
        <f>IF(B9&lt;&gt;"Y","What instrument assigns or offsets RTO/capacity exposure?","")</f>
        <v/>
      </c>
    </row>
    <row r="9" ht="31.5" customHeight="1">
      <c r="A9" s="14" t="inlineStr">
        <is>
          <t>RTO/capacity assignment shown? (Y/N/Unknown)</t>
        </is>
      </c>
      <c r="B9" s="17" t="inlineStr">
        <is>
          <t>Unknown</t>
        </is>
      </c>
      <c r="C9" s="14" t="n"/>
      <c r="D9" s="16">
        <f>IF(B10&lt;&gt;"Y","Which agreement covers water, school, road, safety, and mitigation burdens?","")</f>
        <v/>
      </c>
    </row>
    <row r="10" ht="31.5" customHeight="1">
      <c r="A10" s="14" t="inlineStr">
        <is>
          <t>Water/school/local burdens covered? (Y/N/Unknown)</t>
        </is>
      </c>
      <c r="B10" s="17" t="inlineStr">
        <is>
          <t>Unknown</t>
        </is>
      </c>
      <c r="C10" s="14" t="n"/>
      <c r="D10" s="16">
        <f>IF(B11&lt;&gt;"Y","Who can review confidential terms under protective order?","")</f>
        <v/>
      </c>
    </row>
    <row r="11" ht="31.5" customHeight="1">
      <c r="A11" s="14" t="inlineStr">
        <is>
          <t>Public representative can review confidential terms? (Y/N/Unknown)</t>
        </is>
      </c>
      <c r="B11" s="17" t="inlineStr">
        <is>
          <t>Unknown</t>
        </is>
      </c>
      <c r="C11" s="14" t="n"/>
      <c r="D11" s="16">
        <f>IF(B12&lt;&gt;"Y","Who is the residual claimant if the instrument fails?","")</f>
        <v/>
      </c>
    </row>
    <row r="12" ht="31.5" customHeight="1">
      <c r="A12" s="14" t="inlineStr">
        <is>
          <t>Residual claimant named? (Y/N/Unknown)</t>
        </is>
      </c>
      <c r="B12" s="17" t="inlineStr">
        <is>
          <t>Unknown</t>
        </is>
      </c>
      <c r="C12" s="14" t="n"/>
      <c r="D12" s="16" t="inlineStr">
        <is>
          <t>Always ask for: service agreement, cost study, guarantee/collateral/exit fee, RTO evidence, local fiscal/water agreement.</t>
        </is>
      </c>
    </row>
    <row r="13" ht="31.5" customHeight="1">
      <c r="A13" s="14" t="inlineStr">
        <is>
          <t>Overall lite status</t>
        </is>
      </c>
      <c r="B13" s="16">
        <f>IF(COUNTIF(B6:B12,"N")&gt;0,"Unresolved: ask targeted follow-up",IF(COUNTIF(B6:B12,"Unknown")&gt;0,"Unresolved: evidence needed","Ready for full ledger review"))</f>
        <v/>
      </c>
      <c r="C13" s="16" t="n"/>
      <c r="D13" s="16" t="inlineStr">
        <is>
          <t>Do not conclude subsidy or pays-its-own-way from this lite certificate alone.</t>
        </is>
      </c>
    </row>
    <row r="14" ht="31.5" customHeight="1">
      <c r="A14" s="14" t="inlineStr">
        <is>
          <t>Version</t>
        </is>
      </c>
      <c r="B14" s="14" t="inlineStr">
        <is>
          <t>v1.0 RC2 | May 22, 2026, 11:54 ET</t>
        </is>
      </c>
      <c r="C14" s="14" t="n"/>
      <c r="D14" s="14" t="n"/>
      <c r="E14" s="14" t="n"/>
      <c r="F14" s="14" t="n"/>
    </row>
    <row r="15" ht="15" customHeight="1">
      <c r="A15" s="14" t="n"/>
      <c r="B15" s="14" t="n"/>
      <c r="C15" s="14" t="n"/>
      <c r="D15" s="14" t="n"/>
      <c r="E15" s="14" t="n"/>
      <c r="F15" s="14" t="n"/>
    </row>
    <row r="16" ht="15" customHeight="1">
      <c r="A16" s="14" t="n"/>
      <c r="B16" s="14" t="n"/>
      <c r="C16" s="14" t="n"/>
      <c r="D16" s="14" t="n"/>
      <c r="E16" s="14" t="n"/>
      <c r="F16" s="14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mergeCells count="12">
    <mergeCell ref="A2:F2"/>
    <mergeCell ref="D11:F11"/>
    <mergeCell ref="D13:F13"/>
    <mergeCell ref="D5:F5"/>
    <mergeCell ref="A1:F1"/>
    <mergeCell ref="D4:F4"/>
    <mergeCell ref="D12:F12"/>
    <mergeCell ref="D9:F9"/>
    <mergeCell ref="D7:F7"/>
    <mergeCell ref="D8:F8"/>
    <mergeCell ref="D6:F6"/>
    <mergeCell ref="D10:F10"/>
  </mergeCells>
  <dataValidations count="1">
    <dataValidation sqref="B6:B12" showDropDown="0" showInputMessage="0" showErrorMessage="0" allowBlank="1" type="list">
      <formula1>"Y,N,Unknown"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2026-05-22T16:02:38Z</dcterms:created>
  <dcterms:modified xmlns:dcterms="http://purl.org/dc/terms/" xmlns:xsi="http://www.w3.org/2001/XMLSchema-instance" xsi:type="dcterms:W3CDTF">2026-05-22T16:02:38Z</dcterms:modified>
</cp:coreProperties>
</file>