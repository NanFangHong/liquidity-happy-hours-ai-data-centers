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Trigger Screen" sheetId="3" state="visible" r:id="rId3"/>
    <sheet xmlns:r="http://schemas.openxmlformats.org/officeDocument/2006/relationships" name="Project Profile" sheetId="4" state="visible" r:id="rId4"/>
    <sheet xmlns:r="http://schemas.openxmlformats.org/officeDocument/2006/relationships" name="Electric Ledger" sheetId="5" state="visible" r:id="rId5"/>
    <sheet xmlns:r="http://schemas.openxmlformats.org/officeDocument/2006/relationships" name="RTO Capacity" sheetId="6" state="visible" r:id="rId6"/>
    <sheet xmlns:r="http://schemas.openxmlformats.org/officeDocument/2006/relationships" name="Local Fiscal" sheetId="7" state="visible" r:id="rId7"/>
    <sheet xmlns:r="http://schemas.openxmlformats.org/officeDocument/2006/relationships" name="Water Env" sheetId="8" state="visible" r:id="rId8"/>
    <sheet xmlns:r="http://schemas.openxmlformats.org/officeDocument/2006/relationships" name="Credit Collateral" sheetId="9" state="visible" r:id="rId9"/>
    <sheet xmlns:r="http://schemas.openxmlformats.org/officeDocument/2006/relationships" name="Distributional" sheetId="10" state="visible" r:id="rId10"/>
    <sheet xmlns:r="http://schemas.openxmlformats.org/officeDocument/2006/relationships" name="Stress Cases" sheetId="11" state="visible" r:id="rId11"/>
    <sheet xmlns:r="http://schemas.openxmlformats.org/officeDocument/2006/relationships" name="Evidence Register" sheetId="12" state="visible" r:id="rId12"/>
    <sheet xmlns:r="http://schemas.openxmlformats.org/officeDocument/2006/relationships" name="Lists" sheetId="13" state="visible" r:id="rId13"/>
  </sheets>
  <definedNames/>
</workbook>
</file>

<file path=xl/styles.xml><?xml version="1.0" encoding="utf-8"?>
<styleSheet xmlns="http://schemas.openxmlformats.org/spreadsheetml/2006/main">
  <numFmts count="1">
    <numFmt numFmtId="164" formatCode="&quot;$&quot;#,##0;[Red](&quot;$&quot;#,##0);-"/>
  </numFmts>
  <fonts count="5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172033"/>
      <sz val="11"/>
    </font>
    <font>
      <name val="Carlito"/>
      <b val="1"/>
      <sz val="11"/>
    </font>
  </fonts>
  <fills count="8">
    <fill>
      <patternFill/>
    </fill>
    <fill>
      <patternFill patternType="gray125"/>
    </fill>
    <fill>
      <patternFill patternType="solid">
        <fgColor rgb="FF172033"/>
      </patternFill>
    </fill>
    <fill>
      <patternFill patternType="solid">
        <fgColor rgb="FF0F6B63"/>
      </patternFill>
    </fill>
    <fill>
      <patternFill patternType="solid">
        <fgColor rgb="FFFFF2E8"/>
      </patternFill>
    </fill>
    <fill>
      <patternFill patternType="solid">
        <fgColor rgb="FFE7F3F5"/>
      </patternFill>
    </fill>
    <fill>
      <patternFill patternType="solid">
        <fgColor rgb="FFFFF7D6"/>
      </patternFill>
    </fill>
    <fill>
      <patternFill patternType="solid">
        <fgColor rgb="FFEDF4F6"/>
      </patternFill>
    </fill>
  </fills>
  <borders count="1">
    <border/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164" fontId="0" fillId="0" borderId="0" pivotButton="0" quotePrefix="0" xfId="0"/>
    <xf numFmtId="164" fontId="0" fillId="5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wrapText="1"/>
    </xf>
    <xf numFmtId="164" fontId="0" fillId="5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0" fillId="6" borderId="0" pivotButton="0" quotePrefix="0" xfId="0"/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4" fillId="7" borderId="0" pivotButton="0" quotePrefix="0" xfId="0"/>
    <xf numFmtId="164" fontId="4" fillId="7" borderId="0" pivotButton="0" quotePrefix="0" xfId="0"/>
    <xf numFmtId="164" fontId="0" fillId="6" borderId="0" pivotButton="0" quotePrefix="0" xfId="0"/>
    <xf numFmtId="164" fontId="4" fillId="5" borderId="0" pivotButton="0" quotePrefix="0" xfId="0"/>
    <xf numFmtId="0" fontId="4" fillId="5" borderId="0" pivotButton="0" quotePrefix="0" xfId="0"/>
    <xf numFmtId="164" fontId="0" fillId="6" borderId="0" applyAlignment="1" pivotButton="0" quotePrefix="0" xfId="0">
      <alignment wrapText="1"/>
    </xf>
    <xf numFmtId="0" fontId="4" fillId="7" borderId="0" applyAlignment="1" pivotButton="0" quotePrefix="0" xfId="0">
      <alignment wrapText="1"/>
    </xf>
    <xf numFmtId="164" fontId="4" fillId="5" borderId="0" applyAlignment="1" pivotButton="0" quotePrefix="0" xfId="0">
      <alignment wrapText="1"/>
    </xf>
    <xf numFmtId="0" fontId="4" fillId="5" borderId="0" applyAlignment="1" pivotButton="0" quotePrefix="0" xfId="0">
      <alignment wrapText="1"/>
    </xf>
    <xf numFmtId="164" fontId="0" fillId="5" borderId="0" applyAlignment="1" pivotButton="0" quotePrefix="0" xfId="0">
      <alignment wrapText="1"/>
    </xf>
    <xf numFmtId="0" fontId="0" fillId="6" borderId="0" applyAlignment="1" applyProtection="1" pivotButton="0" quotePrefix="0" xfId="0">
      <alignment wrapText="1"/>
      <protection locked="0" hidden="0"/>
    </xf>
    <xf numFmtId="164" fontId="0" fillId="6" borderId="0" applyAlignment="1" applyProtection="1" pivotButton="0" quotePrefix="0" xfId="0">
      <alignment wrapText="1"/>
      <protection locked="0" hidden="0"/>
    </xf>
    <xf numFmtId="164" fontId="4" fillId="5" borderId="0" applyAlignment="1" pivotButton="0" quotePrefix="0" xfId="0">
      <alignment wrapText="1"/>
    </xf>
    <xf numFmtId="0" fontId="0" fillId="5" borderId="0" applyAlignment="1" applyProtection="1" pivotButton="0" quotePrefix="0" xfId="0">
      <alignment wrapText="1"/>
      <protection locked="0" hidden="0"/>
    </xf>
    <xf numFmtId="0" fontId="0" fillId="6" borderId="0" applyProtection="1" pivotButton="0" quotePrefix="0" xfId="0">
      <protection locked="0" hidden="0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9.44000053405762" customWidth="1" min="1" max="1"/>
    <col width="47.77999877929688" customWidth="1" min="2" max="2"/>
    <col width="18.32999992370605" customWidth="1" min="4" max="4"/>
    <col width="18.32999992370605" customWidth="1" min="5" max="5"/>
    <col width="18.32999992370605" customWidth="1" min="6" max="6"/>
    <col width="18.32999992370605" customWidth="1" min="7" max="7"/>
    <col width="18.32999992370605" customWidth="1" min="8" max="8"/>
  </cols>
  <sheetData>
    <row r="1" ht="72" customHeight="1">
      <c r="A1" s="4" t="inlineStr">
        <is>
          <t>Liquidity Happy Hours / Money View Lab: AI Data Center Ledger Certificate Dashboard</t>
        </is>
      </c>
    </row>
    <row r="2" ht="15" customHeight="1">
      <c r="A2" s="15" t="n"/>
      <c r="B2" s="15" t="n"/>
      <c r="C2" s="15" t="n"/>
      <c r="D2" s="15" t="n"/>
      <c r="E2" s="15" t="n"/>
      <c r="F2" s="15" t="n"/>
      <c r="G2" s="15" t="n"/>
      <c r="H2" s="15" t="n"/>
    </row>
    <row r="3" ht="25.5" customHeight="1">
      <c r="A3" s="15" t="inlineStr">
        <is>
          <t>Project name</t>
        </is>
      </c>
      <c r="B3" s="15">
        <f>IF('Project Profile'!B3="","",'Project Profile'!B3)</f>
        <v/>
      </c>
      <c r="C3" s="15" t="n"/>
      <c r="D3" s="8" t="inlineStr">
        <is>
          <t>Ledger</t>
        </is>
      </c>
      <c r="E3" s="8" t="inlineStr">
        <is>
          <t>Exposure</t>
        </is>
      </c>
      <c r="F3" s="8" t="inlineStr">
        <is>
          <t>Credited resources</t>
        </is>
      </c>
      <c r="G3" s="8" t="inlineStr">
        <is>
          <t>Gap</t>
        </is>
      </c>
      <c r="H3" s="8" t="inlineStr">
        <is>
          <t>Status</t>
        </is>
      </c>
    </row>
    <row r="4" ht="25.5" customHeight="1">
      <c r="A4" s="15" t="inlineStr">
        <is>
          <t>Version</t>
        </is>
      </c>
      <c r="B4" s="15" t="inlineStr">
        <is>
          <t>v1.0 RC2 | May 22, 2026, 11:54 ET</t>
        </is>
      </c>
      <c r="C4" s="15" t="n"/>
      <c r="D4" s="15" t="inlineStr">
        <is>
          <t>Electric ledger</t>
        </is>
      </c>
      <c r="E4" s="31">
        <f>IF('Electric Ledger'!K22="No entries yet","",IF('Electric Ledger'!G22&lt;&gt;"",'Electric Ledger'!G22,'Electric Ledger'!F22))</f>
        <v/>
      </c>
      <c r="F4" s="31">
        <f>IF('Electric Ledger'!K22="No entries yet","",'Electric Ledger'!H22)</f>
        <v/>
      </c>
      <c r="G4" s="31">
        <f>IF('Electric Ledger'!K22="No entries yet","",IF('Electric Ledger'!J22&lt;&gt;"",'Electric Ledger'!J22,'Electric Ledger'!I22))</f>
        <v/>
      </c>
      <c r="H4" s="17">
        <f>'Electric Ledger'!K22</f>
        <v/>
      </c>
    </row>
    <row r="5" ht="25.5" customHeight="1">
      <c r="A5" s="15" t="inlineStr">
        <is>
          <t>Prepared by</t>
        </is>
      </c>
      <c r="B5" s="15">
        <f>IF('Project Profile'!B14="","",'Project Profile'!B14)</f>
        <v/>
      </c>
      <c r="C5" s="15" t="n"/>
      <c r="D5" s="15" t="inlineStr">
        <is>
          <t>RTO / capacity ledger</t>
        </is>
      </c>
      <c r="E5" s="31">
        <f>IF('RTO Capacity'!K22="No entries yet","",IF('RTO Capacity'!G22&lt;&gt;"",'RTO Capacity'!G22,'RTO Capacity'!F22))</f>
        <v/>
      </c>
      <c r="F5" s="31">
        <f>IF('RTO Capacity'!K22="No entries yet","",'RTO Capacity'!H22)</f>
        <v/>
      </c>
      <c r="G5" s="31">
        <f>IF('RTO Capacity'!K22="No entries yet","",IF('RTO Capacity'!J22&lt;&gt;"",'RTO Capacity'!J22,'RTO Capacity'!I22))</f>
        <v/>
      </c>
      <c r="H5" s="17">
        <f>'RTO Capacity'!K22</f>
        <v/>
      </c>
    </row>
    <row r="6" ht="25.5" customHeight="1">
      <c r="A6" s="15" t="inlineStr">
        <is>
          <t>Prepared date</t>
        </is>
      </c>
      <c r="B6" s="15">
        <f>IF('Project Profile'!B15="","",'Project Profile'!B15)</f>
        <v/>
      </c>
      <c r="C6" s="15" t="n"/>
      <c r="D6" s="15" t="inlineStr">
        <is>
          <t>Local fiscal ledger</t>
        </is>
      </c>
      <c r="E6" s="31">
        <f>IF('Local Fiscal'!K22="No entries yet","",IF('Local Fiscal'!G22&lt;&gt;"",'Local Fiscal'!G22,'Local Fiscal'!F22))</f>
        <v/>
      </c>
      <c r="F6" s="31">
        <f>IF('Local Fiscal'!K22="No entries yet","",'Local Fiscal'!H22)</f>
        <v/>
      </c>
      <c r="G6" s="31">
        <f>IF('Local Fiscal'!K22="No entries yet","",IF('Local Fiscal'!J22&lt;&gt;"",'Local Fiscal'!J22,'Local Fiscal'!I22))</f>
        <v/>
      </c>
      <c r="H6" s="17">
        <f>'Local Fiscal'!K22</f>
        <v/>
      </c>
    </row>
    <row r="7" ht="25.5" customHeight="1">
      <c r="A7" s="15" t="inlineStr">
        <is>
          <t>Overall status</t>
        </is>
      </c>
      <c r="B7" s="15">
        <f>IF(COUNTIF(H4:H9,"Failed under stress")&gt;0,"Failed under stress",IF(COUNTIF(H4:H9,"*Unresolved*")&gt;0,"Unresolved",IF(COUNTIF(H4:H9,"Conditional pass")&gt;0,"Conditional pass",IF(COUNTIF(H4:H9,"Public-welfare override")&gt;0,"Public-welfare override",IF(COUNTIF(H4:H9,"Pass")&gt;0,"Pass where documented","No reviewed ledger lines")))))</f>
        <v/>
      </c>
      <c r="C7" s="15" t="n"/>
      <c r="D7" s="15" t="inlineStr">
        <is>
          <t>Water / environmental ledger</t>
        </is>
      </c>
      <c r="E7" s="31">
        <f>IF('Water Env'!K22="No entries yet","",IF('Water Env'!G22&lt;&gt;"",'Water Env'!G22,'Water Env'!F22))</f>
        <v/>
      </c>
      <c r="F7" s="31">
        <f>IF('Water Env'!K22="No entries yet","",'Water Env'!H22)</f>
        <v/>
      </c>
      <c r="G7" s="31">
        <f>IF('Water Env'!K22="No entries yet","",IF('Water Env'!J22&lt;&gt;"",'Water Env'!J22,'Water Env'!I22))</f>
        <v/>
      </c>
      <c r="H7" s="17">
        <f>'Water Env'!K22</f>
        <v/>
      </c>
    </row>
    <row r="8" ht="34.5" customHeight="1">
      <c r="A8" s="15" t="inlineStr">
        <is>
          <t>Anti-misuse rule</t>
        </is>
      </c>
      <c r="B8" s="15" t="inlineStr">
        <is>
          <t>Unknown is not failure. One clean ledger is not a clean project.</t>
        </is>
      </c>
      <c r="C8" s="15" t="n"/>
      <c r="D8" s="15" t="inlineStr">
        <is>
          <t>Credit / collateral ledger</t>
        </is>
      </c>
      <c r="E8" s="31">
        <f>IF('Credit Collateral'!K22="No entries yet","",IF('Credit Collateral'!G22&lt;&gt;"",'Credit Collateral'!G22,'Credit Collateral'!F22))</f>
        <v/>
      </c>
      <c r="F8" s="31">
        <f>IF('Credit Collateral'!K22="No entries yet","",'Credit Collateral'!H22)</f>
        <v/>
      </c>
      <c r="G8" s="31">
        <f>IF('Credit Collateral'!K22="No entries yet","",IF('Credit Collateral'!J22&lt;&gt;"",'Credit Collateral'!J22,'Credit Collateral'!I22))</f>
        <v/>
      </c>
      <c r="H8" s="17">
        <f>'Credit Collateral'!K22</f>
        <v/>
      </c>
    </row>
    <row r="9" ht="34.5" customHeight="1">
      <c r="A9" s="15" t="inlineStr">
        <is>
          <t>Public-risk note</t>
        </is>
      </c>
      <c r="B9" s="15" t="inlineStr">
        <is>
          <t>No hidden ledger should become a public bill. No single clean ledger should be mistaken for a clean project.</t>
        </is>
      </c>
      <c r="C9" s="15" t="n"/>
      <c r="D9" s="15" t="inlineStr">
        <is>
          <t>Distributional flags</t>
        </is>
      </c>
      <c r="E9" s="17" t="str"/>
      <c r="F9" s="17" t="str"/>
      <c r="G9" s="17" t="str"/>
      <c r="H9" s="17">
        <f>'Distributional'!I22</f>
        <v/>
      </c>
    </row>
    <row r="10" ht="25.5" customHeight="1">
      <c r="A10" s="18" t="inlineStr">
        <is>
          <t>Working release for public review and issue-spotting. Not a legal filing, expert report, or commission-ready evidentiary record.</t>
        </is>
      </c>
    </row>
    <row r="11" ht="15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 ht="31.5" customHeight="1">
      <c r="A12" s="15" t="inlineStr">
        <is>
          <t>Dashboard rule</t>
        </is>
      </c>
      <c r="B12" s="15" t="inlineStr">
        <is>
          <t>Blank or unknown entries do not enter totals.</t>
        </is>
      </c>
      <c r="C12" s="15" t="n"/>
      <c r="D12" s="15" t="n"/>
      <c r="E12" s="15" t="n"/>
      <c r="F12" s="15" t="n"/>
      <c r="G12" s="15" t="n"/>
      <c r="H12" s="15" t="n"/>
    </row>
    <row r="13" ht="31.5" customHeight="1">
      <c r="A13" s="15" t="inlineStr">
        <is>
          <t>Cross-ledger rule</t>
        </is>
      </c>
      <c r="B13" s="15" t="inlineStr">
        <is>
          <t>A local benefit cannot offset electric, RTO, or water exposure without an enforceable transfer.</t>
        </is>
      </c>
      <c r="C13" s="15" t="n"/>
      <c r="D13" s="15" t="n"/>
      <c r="E13" s="15" t="n"/>
      <c r="F13" s="15" t="n"/>
      <c r="G13" s="15" t="n"/>
      <c r="H13" s="15" t="n"/>
    </row>
    <row r="14" ht="31.5" customHeight="1">
      <c r="A14" s="15" t="inlineStr">
        <is>
          <t>Status vocabulary</t>
        </is>
      </c>
      <c r="B14" s="15" t="inlineStr">
        <is>
          <t>See Instructions for status, evidence, applicability, and evidence-band values.</t>
        </is>
      </c>
      <c r="C14" s="15" t="n"/>
      <c r="D14" s="15" t="n"/>
      <c r="E14" s="15" t="n"/>
      <c r="F14" s="15" t="n"/>
      <c r="G14" s="15" t="n"/>
      <c r="H14" s="15" t="n"/>
    </row>
    <row r="15" ht="31.5" customHeight="1">
      <c r="A15" s="15" t="inlineStr">
        <is>
          <t>Required stress cases unresolved</t>
        </is>
      </c>
      <c r="B15" s="15">
        <f>COUNTIFS('Stress Cases'!C4:C12,"Required",'Stress Cases'!I4:I12,"&lt;&gt;Pass")&amp;" / "&amp;COUNTIF('Stress Cases'!C4:C12,"Required")&amp;" required open"</f>
        <v/>
      </c>
      <c r="C15" s="15" t="n"/>
      <c r="D15" s="15" t="n"/>
      <c r="E15" s="15" t="n"/>
      <c r="F15" s="15" t="n"/>
      <c r="G15" s="15" t="n"/>
      <c r="H15" s="15" t="n"/>
    </row>
    <row r="16" ht="31.5" customHeight="1">
      <c r="A16" s="15" t="inlineStr">
        <is>
          <t>Required stress failed</t>
        </is>
      </c>
      <c r="B16" s="15">
        <f>COUNTIFS('Stress Cases'!C4:C12,"Required",'Stress Cases'!I4:I12,"Failed under stress")&amp;" required failed"</f>
        <v/>
      </c>
      <c r="C16" s="15" t="n"/>
      <c r="D16" s="15" t="n"/>
      <c r="E16" s="15" t="n"/>
      <c r="F16" s="15" t="n"/>
      <c r="G16" s="15" t="n"/>
      <c r="H16" s="15" t="n"/>
    </row>
    <row r="17" ht="31.5" customHeight="1">
      <c r="A17" s="15" t="inlineStr">
        <is>
          <t>Citation completeness</t>
        </is>
      </c>
      <c r="B17" s="15">
        <f>COUNTIF('Evidence Register'!J4:J60,"Needs pin")+COUNTIF('Evidence Register'!J4:J60,"Needs update")+COUNTIF('Evidence Register'!J4:J60,"Needs legal pin")+COUNTIF('Evidence Register'!J4:J60,"Missing")&amp;" open evidence pins"</f>
        <v/>
      </c>
      <c r="C17" s="15" t="n"/>
      <c r="D17" s="15" t="n"/>
      <c r="E17" s="15" t="n"/>
      <c r="F17" s="15" t="n"/>
      <c r="G17" s="15" t="n"/>
      <c r="H17" s="15" t="n"/>
    </row>
    <row r="18" ht="31.5" customHeight="1">
      <c r="A18" s="15" t="inlineStr">
        <is>
          <t>Substantive evidence gaps</t>
        </is>
      </c>
      <c r="B18" s="15">
        <f>COUNTIF('Evidence Register'!K4:K60,"Missing")+COUNTIF('Evidence Register'!K4:K60,"Contested")&amp;" missing or contested substantive evidence items"</f>
        <v/>
      </c>
      <c r="C18" s="15" t="n"/>
      <c r="D18" s="15" t="n"/>
      <c r="E18" s="15" t="n"/>
      <c r="F18" s="15" t="n"/>
      <c r="G18" s="15" t="n"/>
      <c r="H18" s="15" t="n"/>
    </row>
    <row r="19" ht="31.5" customHeight="1">
      <c r="A19" s="15" t="inlineStr">
        <is>
          <t>Publication status</t>
        </is>
      </c>
      <c r="B19" s="15" t="inlineStr">
        <is>
          <t>Update PJM/FERC/state items before filing or citation.</t>
        </is>
      </c>
      <c r="C19" s="15" t="n"/>
      <c r="D19" s="15" t="n"/>
      <c r="E19" s="15" t="n"/>
      <c r="F19" s="15" t="n"/>
      <c r="G19" s="15" t="n"/>
      <c r="H19" s="15" t="n"/>
    </row>
    <row r="20" ht="31.5" customHeight="1">
      <c r="A20" s="15" t="inlineStr">
        <is>
          <t>Stress trigger review</t>
        </is>
      </c>
      <c r="B20" s="15">
        <f>COUNTIF('Stress Cases'!C4:C12,"Check trigger")&amp;" check-trigger cases need trigger resolution"</f>
        <v/>
      </c>
      <c r="C20" s="15" t="n"/>
      <c r="D20" s="15" t="n"/>
      <c r="E20" s="15" t="n"/>
      <c r="F20" s="15" t="n"/>
      <c r="G20" s="15" t="n"/>
      <c r="H20" s="15" t="n"/>
    </row>
    <row r="21" ht="31.5" customHeight="1">
      <c r="A21" s="15" t="inlineStr">
        <is>
          <t>Cross-ledger warnings</t>
        </is>
      </c>
      <c r="B21" s="15">
        <f>COUNTIF('Electric Ledger'!R4:R21,"Yes")+COUNTIF('Electric Ledger'!R4:R21,"Missing origin")+COUNTIF('RTO Capacity'!R4:R21,"Yes")+COUNTIF('RTO Capacity'!R4:R21,"Missing origin")+COUNTIF('Local Fiscal'!R4:R21,"Yes")+COUNTIF('Local Fiscal'!R4:R21,"Missing origin")+COUNTIF('Water Env'!R4:R21,"Yes")+COUNTIF('Water Env'!R4:R21,"Missing origin")+COUNTIF('Credit Collateral'!R4:R21,"Yes")+COUNTIF('Credit Collateral'!R4:R21,"Missing origin")&amp;" cross-ledger or origin warnings"</f>
        <v/>
      </c>
      <c r="C21" s="15" t="n"/>
      <c r="D21" s="15" t="n"/>
      <c r="E21" s="15" t="n"/>
      <c r="F21" s="15" t="n"/>
      <c r="G21" s="15" t="n"/>
      <c r="H21" s="15" t="n"/>
    </row>
    <row r="22" ht="31.5" customHeight="1">
      <c r="A22" s="15" t="inlineStr">
        <is>
          <t>Filing readiness</t>
        </is>
      </c>
      <c r="B22" s="15">
        <f>IF(OR(COUNTIF(H4:H9,"*Failed*")&gt;0,COUNTIF(H4:H9,"*Unresolved*")&gt;0,COUNTIF(H4:H9,"No entries yet")=6,COUNTIFS('Stress Cases'!C4:C12,"Required",'Stress Cases'!I4:I12,"&lt;&gt;Pass")&gt;0,COUNTIF('Stress Cases'!C4:C12,"Check trigger")&gt;0,COUNTIF('Evidence Register'!J4:J60,"Needs pin")+COUNTIF('Evidence Register'!J4:J60,"Needs update")+COUNTIF('Evidence Register'!J4:J60,"Needs legal pin")+COUNTIF('Evidence Register'!J4:J60,"Missing")&gt;0,COUNTIF('Evidence Register'!K4:K60,"Missing")+COUNTIF('Evidence Register'!K4:K60,"Contested")&gt;0,COUNTIF('Electric Ledger'!R4:R21,"Yes")+COUNTIF('Electric Ledger'!R4:R21,"Missing origin")+COUNTIF('RTO Capacity'!R4:R21,"Yes")+COUNTIF('RTO Capacity'!R4:R21,"Missing origin")+COUNTIF('Local Fiscal'!R4:R21,"Yes")+COUNTIF('Local Fiscal'!R4:R21,"Missing origin")+COUNTIF('Water Env'!R4:R21,"Yes")+COUNTIF('Water Env'!R4:R21,"Missing origin")+COUNTIF('Credit Collateral'!R4:R21,"Yes")+COUNTIF('Credit Collateral'!R4:R21,"Missing origin")&gt;0,B23&lt;&gt;"Enabled"),"Not filing-ready","Ready where documented")</f>
        <v/>
      </c>
      <c r="C22" s="15" t="n"/>
      <c r="D22" s="15" t="n"/>
      <c r="E22" s="15" t="n"/>
      <c r="F22" s="15" t="n"/>
      <c r="G22" s="15" t="n"/>
      <c r="H22" s="15" t="n"/>
    </row>
    <row r="23" ht="31.5" customHeight="1">
      <c r="A23" s="15" t="inlineStr">
        <is>
          <t>Formula protection status</t>
        </is>
      </c>
      <c r="B23" s="15" t="inlineStr">
        <is>
          <t>Enabled</t>
        </is>
      </c>
      <c r="C23" s="15" t="n"/>
      <c r="D23" s="15" t="n"/>
      <c r="E23" s="15" t="n"/>
      <c r="F23" s="15" t="n"/>
      <c r="G23" s="15" t="n"/>
      <c r="H23" s="15" t="n"/>
    </row>
    <row r="24" ht="31.5" customHeight="1">
      <c r="A24" s="15" t="inlineStr">
        <is>
          <t>Model caution</t>
        </is>
      </c>
      <c r="B24" s="15" t="inlineStr">
        <is>
          <t>This workbook screens evidentiary adequacy; it does not estimate formal expected loss.</t>
        </is>
      </c>
      <c r="C24" s="15" t="n"/>
      <c r="D24" s="15" t="n"/>
      <c r="E24" s="15" t="n"/>
      <c r="F24" s="15" t="n"/>
      <c r="G24" s="15" t="n"/>
      <c r="H24" s="15" t="n"/>
    </row>
  </sheetData>
  <sheetProtection selectLockedCells="0" selectUnlockedCells="1" sheet="1" objects="0" insertRows="0" insertHyperlinks="1" autoFilter="1" scenarios="0" formatColumns="0" deleteColumns="1" insertColumns="1" pivotTables="1" deleteRows="0" formatCells="1" formatRows="0" sort="1"/>
  <mergeCells count="2">
    <mergeCell ref="A1:H1"/>
    <mergeCell ref="A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4.44000053405762" customWidth="1" min="1" max="1"/>
    <col width="80" customWidth="1" min="2" max="2"/>
  </cols>
  <sheetData>
    <row r="1" ht="67.19999694824219" customHeight="1">
      <c r="A1" s="4" t="inlineStr">
        <is>
          <t>Instructions / Definitions</t>
        </is>
      </c>
      <c r="B1" s="4" t="str"/>
      <c r="C1" s="4" t="str"/>
      <c r="D1" s="4" t="str"/>
      <c r="E1" s="4" t="str"/>
      <c r="F1" s="4" t="str"/>
      <c r="G1" s="4" t="str"/>
      <c r="H1" s="4" t="str"/>
    </row>
    <row r="2" ht="15" customHeight="1">
      <c r="A2" s="15" t="n"/>
      <c r="B2" s="15" t="n"/>
      <c r="C2" s="15" t="n"/>
      <c r="D2" s="15" t="n"/>
      <c r="E2" s="15" t="n"/>
      <c r="F2" s="15" t="n"/>
      <c r="G2" s="15" t="n"/>
      <c r="H2" s="15" t="n"/>
    </row>
    <row r="3" ht="118.8000030517578" customHeight="1">
      <c r="A3" s="15" t="inlineStr">
        <is>
          <t>Purpose</t>
        </is>
      </c>
      <c r="B3" s="15" t="inlineStr">
        <is>
          <t>Use this workbook as a ledger certificate, not a project advocacy sheet.</t>
        </is>
      </c>
      <c r="C3" s="15" t="n"/>
      <c r="D3" s="15" t="n"/>
      <c r="E3" s="15" t="n"/>
      <c r="F3" s="15" t="n"/>
      <c r="G3" s="15" t="n"/>
      <c r="H3" s="15" t="n"/>
    </row>
    <row r="4" ht="145.1999969482422" customHeight="1">
      <c r="A4" s="15" t="inlineStr">
        <is>
          <t>No-zero-unknown rule</t>
        </is>
      </c>
      <c r="B4" s="15" t="inlineStr">
        <is>
          <t>Unknown or blank exposure is not treated as zero. It remains unresolved until evidence is entered.</t>
        </is>
      </c>
      <c r="C4" s="15" t="n"/>
      <c r="D4" s="15" t="n"/>
      <c r="E4" s="15" t="n"/>
      <c r="F4" s="15" t="n"/>
      <c r="G4" s="15" t="n"/>
      <c r="H4" s="15" t="n"/>
    </row>
    <row r="5" ht="105.5999984741211" customHeight="1">
      <c r="A5" s="15" t="inlineStr">
        <is>
          <t>Same-ledger rule</t>
        </is>
      </c>
      <c r="B5" s="15" t="inlineStr">
        <is>
          <t>Settlement resources offset only the exposure they legally cover.</t>
        </is>
      </c>
      <c r="C5" s="15" t="n"/>
      <c r="D5" s="15" t="n"/>
      <c r="E5" s="15" t="n"/>
      <c r="F5" s="15" t="n"/>
      <c r="G5" s="15" t="n"/>
      <c r="H5" s="15" t="n"/>
    </row>
    <row r="6" ht="171.6000061035156" customHeight="1">
      <c r="A6" s="15" t="inlineStr">
        <is>
          <t>Evidence register</t>
        </is>
      </c>
      <c r="B6" s="15" t="inlineStr">
        <is>
          <t>Every material line should point to an Evidence ID with source URL, docket, page/table/order pin, and status.</t>
        </is>
      </c>
      <c r="C6" s="15" t="n"/>
      <c r="D6" s="15" t="n"/>
      <c r="E6" s="15" t="n"/>
      <c r="F6" s="15" t="n"/>
      <c r="G6" s="15" t="n"/>
      <c r="H6" s="15" t="n"/>
    </row>
    <row r="7" ht="66" customHeight="1">
      <c r="A7" s="15" t="inlineStr">
        <is>
          <t>Input cells</t>
        </is>
      </c>
      <c r="B7" s="15" t="inlineStr">
        <is>
          <t>Yellow cells are intended for user input.</t>
        </is>
      </c>
      <c r="C7" s="15" t="n"/>
      <c r="D7" s="15" t="n"/>
      <c r="E7" s="15" t="n"/>
      <c r="F7" s="15" t="n"/>
      <c r="G7" s="15" t="n"/>
      <c r="H7" s="15" t="n"/>
    </row>
    <row r="8" ht="79.19999694824219" customHeight="1">
      <c r="A8" s="15" t="inlineStr">
        <is>
          <t>Formula cells</t>
        </is>
      </c>
      <c r="B8" s="15" t="inlineStr">
        <is>
          <t>Blue cells are formulas or summary logic.</t>
        </is>
      </c>
      <c r="C8" s="15" t="n"/>
      <c r="D8" s="15" t="n"/>
      <c r="E8" s="15" t="n"/>
      <c r="F8" s="15" t="n"/>
      <c r="G8" s="15" t="n"/>
      <c r="H8" s="15" t="n"/>
    </row>
    <row r="9" ht="580.7999877929688" customHeight="1">
      <c r="A9" s="15" t="inlineStr">
        <is>
          <t>Status options</t>
        </is>
      </c>
      <c r="B9" s="15" t="inlineStr">
        <is>
          <t>Pass; Conditional pass; Failed under stress; Unresolved, evidence missing; Unresolved, mitigation missing; Unresolved, resource origin missing; Unresolved, cross-ledger transfer missing; Unresolved, confidential but reviewable; Unresolved, contested; Not applicable; Not triggered; Check trigger unresolved; Public-welfare override.</t>
        </is>
      </c>
      <c r="C9" s="15" t="n"/>
      <c r="D9" s="15" t="n"/>
      <c r="E9" s="15" t="n"/>
      <c r="F9" s="15" t="n"/>
      <c r="G9" s="15" t="n"/>
      <c r="H9" s="15" t="n"/>
    </row>
    <row r="10" ht="79.19999694824219" customHeight="1">
      <c r="A10" s="15" t="inlineStr">
        <is>
          <t>Applicability options</t>
        </is>
      </c>
      <c r="B10" s="15" t="inlineStr">
        <is>
          <t>Triggered; Not triggered; Not applicable; Unknown.</t>
        </is>
      </c>
      <c r="C10" s="15" t="n"/>
      <c r="D10" s="15" t="n"/>
      <c r="E10" s="15" t="n"/>
      <c r="F10" s="15" t="n"/>
      <c r="G10" s="15" t="n"/>
      <c r="H10" s="15" t="n"/>
    </row>
    <row r="11" ht="92.40000152587891" customHeight="1">
      <c r="A11" s="15" t="inlineStr">
        <is>
          <t>Evidence options</t>
        </is>
      </c>
      <c r="B11" s="15" t="inlineStr">
        <is>
          <t>Public; Confidential-reviewable; Proxy; Missing; Contested.</t>
        </is>
      </c>
      <c r="C11" s="15" t="n"/>
      <c r="D11" s="15" t="n"/>
      <c r="E11" s="15" t="n"/>
      <c r="F11" s="15" t="n"/>
      <c r="G11" s="15" t="n"/>
      <c r="H11" s="15" t="n"/>
    </row>
    <row r="12" ht="224.3999938964844" customHeight="1">
      <c r="A12" s="15" t="inlineStr">
        <is>
          <t>Evidence bands</t>
        </is>
      </c>
      <c r="B12" s="15" t="inlineStr">
        <is>
          <t>Settled cash; Callable secured credit; Enforceable scoped promise; Unsecured promise; Narrative-only promise; Unaccredited performance claim.</t>
        </is>
      </c>
      <c r="C12" s="15" t="n"/>
      <c r="D12" s="15" t="n"/>
      <c r="E12" s="15" t="n"/>
      <c r="F12" s="15" t="n"/>
      <c r="G12" s="15" t="n"/>
      <c r="H12" s="15" t="n"/>
    </row>
    <row r="13" ht="184.8000030517578" customHeight="1">
      <c r="A13" s="15" t="inlineStr">
        <is>
          <t>Model caution</t>
        </is>
      </c>
      <c r="B13" s="15" t="inlineStr">
        <is>
          <t>This workbook screens evidentiary adequacy; it does not estimate formal expected loss, bankruptcy recovery, or market causation.</t>
        </is>
      </c>
      <c r="C13" s="15" t="n"/>
      <c r="D13" s="15" t="n"/>
      <c r="E13" s="15" t="n"/>
      <c r="F13" s="15" t="n"/>
      <c r="G13" s="15" t="n"/>
      <c r="H13" s="15" t="n"/>
    </row>
    <row r="14" ht="237.6000061035156" customHeight="1">
      <c r="A14" s="15" t="inlineStr">
        <is>
          <t>Discount-rate basis</t>
        </is>
      </c>
      <c r="B14" s="15" t="inlineStr">
        <is>
          <t>Use and disclose the relevant basis: utility carrying cost, bond rate, social discount rate, customer credit-adjusted rate, or commission-approved rate.</t>
        </is>
      </c>
      <c r="C14" s="15" t="n"/>
      <c r="D14" s="15" t="n"/>
      <c r="E14" s="15" t="n"/>
      <c r="F14" s="15" t="n"/>
      <c r="G14" s="15" t="n"/>
      <c r="H14" s="15" t="n"/>
    </row>
    <row r="15" ht="145.1999969482422" customHeight="1">
      <c r="A15" s="15" t="inlineStr">
        <is>
          <t>Anti-misuse</t>
        </is>
      </c>
      <c r="B15" s="15" t="inlineStr">
        <is>
          <t>Do not cite an unknown line as failure, and do not cite one clean ledger as a clean project.</t>
        </is>
      </c>
      <c r="C15" s="15" t="n"/>
      <c r="D15" s="15" t="n"/>
      <c r="E15" s="15" t="n"/>
      <c r="F15" s="15" t="n"/>
      <c r="G15" s="15" t="n"/>
      <c r="H15" s="15" t="n"/>
    </row>
    <row r="16" ht="145.1999969482422" customHeight="1">
      <c r="A16" s="15" t="inlineStr">
        <is>
          <t>Citation lockdown</t>
        </is>
      </c>
      <c r="B16" s="15" t="inlineStr">
        <is>
          <t>Before filing, pin contested numbers to page, table, docket, tariff section, or order paragraph.</t>
        </is>
      </c>
      <c r="C16" s="15" t="n"/>
      <c r="D16" s="15" t="n"/>
      <c r="E16" s="15" t="n"/>
      <c r="F16" s="15" t="n"/>
      <c r="G16" s="15" t="n"/>
      <c r="H16" s="15" t="n"/>
    </row>
    <row r="17" ht="15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 ht="15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</row>
  </sheetData>
  <sheetProtection selectLockedCells="0" selectUnlockedCells="1" sheet="1" objects="0" insertRows="0" insertHyperlinks="1" autoFilter="1" scenarios="0" formatColumns="0" deleteColumns="1" insertColumns="1" pivotTables="1" deleteRows="0" formatCells="1" formatRows="0" sort="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0.55999946594238" customWidth="1" min="1" max="1"/>
    <col width="20.55999946594238" customWidth="1" min="2" max="2"/>
    <col width="20.55999946594238" customWidth="1" min="3" max="3"/>
    <col width="20.55999946594238" customWidth="1" min="4" max="4"/>
    <col width="20.55999946594238" customWidth="1" min="5" max="5"/>
  </cols>
  <sheetData>
    <row r="1" ht="33.59999847412109" customHeight="1">
      <c r="A1" s="4" t="inlineStr">
        <is>
          <t>Trigger Screen</t>
        </is>
      </c>
      <c r="B1" s="4" t="str"/>
      <c r="C1" s="4" t="str"/>
      <c r="D1" s="4" t="str"/>
      <c r="E1" s="4" t="str"/>
      <c r="F1" s="4" t="str"/>
      <c r="G1" s="4" t="str"/>
      <c r="H1" s="4" t="str"/>
    </row>
    <row r="2" ht="15" customHeight="1">
      <c r="A2" s="15" t="n"/>
      <c r="B2" s="15" t="n"/>
      <c r="C2" s="15" t="n"/>
      <c r="D2" s="15" t="n"/>
      <c r="E2" s="15" t="n"/>
      <c r="F2" s="15" t="n"/>
      <c r="G2" s="15" t="n"/>
      <c r="H2" s="15" t="n"/>
    </row>
    <row r="3" ht="39.59999847412109" customHeight="1">
      <c r="A3" s="8" t="inlineStr">
        <is>
          <t>Trigger</t>
        </is>
      </c>
      <c r="B3" s="8" t="inlineStr">
        <is>
          <t>Default threshold</t>
        </is>
      </c>
      <c r="C3" s="8" t="inlineStr">
        <is>
          <t>Applies? (Y/N/Unknown)</t>
        </is>
      </c>
      <c r="D3" s="8" t="inlineStr">
        <is>
          <t>Evidence ID</t>
        </is>
      </c>
      <c r="E3" s="8" t="inlineStr">
        <is>
          <t>Notes</t>
        </is>
      </c>
      <c r="F3" s="15" t="n"/>
      <c r="G3" s="15" t="n"/>
      <c r="H3" s="15" t="n"/>
    </row>
    <row r="4" ht="66" customHeight="1">
      <c r="A4" s="15" t="inlineStr">
        <is>
          <t>MW threshold</t>
        </is>
      </c>
      <c r="B4" s="15" t="inlineStr">
        <is>
          <t>25 / 50 / 100 MW or state tariff threshold</t>
        </is>
      </c>
      <c r="C4" s="32" t="inlineStr">
        <is>
          <t>Unknown</t>
        </is>
      </c>
      <c r="D4" s="32" t="str"/>
      <c r="E4" s="32" t="str"/>
      <c r="F4" s="15" t="n"/>
      <c r="G4" s="15" t="n"/>
      <c r="H4" s="15" t="n"/>
    </row>
    <row r="5" ht="52.79999923706055" customHeight="1">
      <c r="A5" s="15" t="inlineStr">
        <is>
          <t>System peak share</t>
        </is>
      </c>
      <c r="B5" s="15" t="inlineStr">
        <is>
          <t>Material effect on utility/LSE/zone peak</t>
        </is>
      </c>
      <c r="C5" s="32" t="inlineStr">
        <is>
          <t>Unknown</t>
        </is>
      </c>
      <c r="D5" s="32" t="str"/>
      <c r="E5" s="32" t="str"/>
      <c r="F5" s="15" t="n"/>
      <c r="G5" s="15" t="n"/>
      <c r="H5" s="15" t="n"/>
    </row>
    <row r="6" ht="92.40000152587891" customHeight="1">
      <c r="A6" s="15" t="inlineStr">
        <is>
          <t>Capex threshold</t>
        </is>
      </c>
      <c r="B6" s="15" t="inlineStr">
        <is>
          <t>Grid/water/local capex above filing or board threshold</t>
        </is>
      </c>
      <c r="C6" s="32" t="inlineStr">
        <is>
          <t>Unknown</t>
        </is>
      </c>
      <c r="D6" s="32" t="str"/>
      <c r="E6" s="32" t="str"/>
      <c r="F6" s="15" t="n"/>
      <c r="G6" s="15" t="n"/>
      <c r="H6" s="15" t="n"/>
    </row>
    <row r="7" ht="66" customHeight="1">
      <c r="A7" s="15" t="inlineStr">
        <is>
          <t>Forecast trigger</t>
        </is>
      </c>
      <c r="B7" s="15" t="inlineStr">
        <is>
          <t>IRP/RTO/utility/water/capacity forecast inclusion</t>
        </is>
      </c>
      <c r="C7" s="32" t="inlineStr">
        <is>
          <t>Unknown</t>
        </is>
      </c>
      <c r="D7" s="32" t="str"/>
      <c r="E7" s="32" t="str"/>
      <c r="F7" s="15" t="n"/>
      <c r="G7" s="15" t="n"/>
      <c r="H7" s="15" t="n"/>
    </row>
    <row r="8" ht="118.8000030517578" customHeight="1">
      <c r="A8" s="15" t="inlineStr">
        <is>
          <t>Public support trigger</t>
        </is>
      </c>
      <c r="B8" s="15" t="inlineStr">
        <is>
          <t>Tax abatement, PILOT, public bond, infrastructure, expedited approval</t>
        </is>
      </c>
      <c r="C8" s="32" t="inlineStr">
        <is>
          <t>Unknown</t>
        </is>
      </c>
      <c r="D8" s="32" t="str"/>
      <c r="E8" s="32" t="str"/>
      <c r="F8" s="15" t="n"/>
      <c r="G8" s="15" t="n"/>
      <c r="H8" s="15" t="n"/>
    </row>
    <row r="9" ht="79.19999694824219" customHeight="1">
      <c r="A9" s="15" t="inlineStr">
        <is>
          <t>Credit trigger</t>
        </is>
      </c>
      <c r="B9" s="15" t="inlineStr">
        <is>
          <t>Thin SPV, affiliate split, colo lease, unidentified payer</t>
        </is>
      </c>
      <c r="C9" s="32" t="inlineStr">
        <is>
          <t>Unknown</t>
        </is>
      </c>
      <c r="D9" s="32" t="str"/>
      <c r="E9" s="32" t="str"/>
      <c r="F9" s="15" t="n"/>
      <c r="G9" s="15" t="n"/>
      <c r="H9" s="15" t="n"/>
    </row>
    <row r="10" ht="105.5999984741211" customHeight="1">
      <c r="A10" s="15" t="inlineStr">
        <is>
          <t>Local trigger</t>
        </is>
      </c>
      <c r="B10" s="15" t="inlineStr">
        <is>
          <t>Water reservation, backup generation, road/fire/school/site burden</t>
        </is>
      </c>
      <c r="C10" s="32" t="inlineStr">
        <is>
          <t>Unknown</t>
        </is>
      </c>
      <c r="D10" s="32" t="str"/>
      <c r="E10" s="32" t="str"/>
      <c r="F10" s="15" t="n"/>
      <c r="G10" s="15" t="n"/>
      <c r="H10" s="15" t="n"/>
    </row>
    <row r="11" ht="26.39999961853027" customHeight="1">
      <c r="A11" s="15" t="inlineStr">
        <is>
          <t>Full review needed?</t>
        </is>
      </c>
      <c r="B11" s="17">
        <f>IF(COUNTIF(C4:C10,"Y")&gt;0,"Yes",IF(COUNTIF(C4:C10,"Unknown")&gt;0,"Unresolved","No"))</f>
        <v/>
      </c>
      <c r="C11" s="17" t="str"/>
      <c r="D11" s="15" t="str"/>
      <c r="E11" s="15" t="str"/>
      <c r="F11" s="15" t="n"/>
      <c r="G11" s="15" t="n"/>
      <c r="H11" s="15" t="n"/>
    </row>
    <row r="12" ht="15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 ht="15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 ht="15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</row>
  </sheetData>
  <sheetProtection selectLockedCells="0" selectUnlockedCells="1" sheet="1" objects="0" insertRows="0" insertHyperlinks="1" autoFilter="1" scenarios="0" formatColumns="0" deleteColumns="1" insertColumns="1" pivotTables="1" deleteRows="0" formatCells="1" formatRows="0" sort="1"/>
  <dataValidations count="2">
    <dataValidation sqref="C4:C10" showDropDown="0" showInputMessage="0" showErrorMessage="0" allowBlank="1" type="list">
      <formula1>"Y,N,Unknown"</formula1>
    </dataValidation>
    <dataValidation sqref="D4:D10" showDropDown="0" showInputMessage="0" showErrorMessage="0" allowBlank="1" type="list">
      <formula1>"EV-001,EV-002,EV-003,EV-004,EV-005,EV-006,EV-007,EV-008,EV-009,EV-010,EV-011,EV-012,EV-013,EV-014,EV-015,EV-016,EV-017,EV-018,EV-019,EV-020,EV-021,EV-022,EV-023,EV-024,EV-025,EV-026,EV-027,EV-028,EV-029,EV-030,EV-031,EV-032,EV-033,EV-034,EV-035,EV-036,EV-037,EV-038,EV-039,EV-040,EV-041,EV-042,EV-043,EV-044,EV-045,EV-046,EV-047,EV-048,EV-049,EV-050,EV-051,EV-052,EV-053,EV-054,EV-055,EV-056,EV-057,EV-058,EV-059,EV-060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4.44000053405762" customWidth="1" min="1" max="1"/>
    <col width="72.22000122070312" customWidth="1" min="2" max="2"/>
  </cols>
  <sheetData>
    <row r="1" ht="33.59999847412109" customHeight="1">
      <c r="A1" s="4" t="inlineStr">
        <is>
          <t>Project Profile</t>
        </is>
      </c>
      <c r="B1" s="4" t="str"/>
      <c r="C1" s="4" t="str"/>
      <c r="D1" s="4" t="str"/>
      <c r="E1" s="4" t="str"/>
      <c r="F1" s="4" t="str"/>
      <c r="G1" s="4" t="str"/>
      <c r="H1" s="4" t="str"/>
    </row>
    <row r="2" ht="15" customHeight="1">
      <c r="A2" s="15" t="n"/>
      <c r="B2" s="15" t="n"/>
      <c r="C2" s="15" t="n"/>
      <c r="D2" s="15" t="n"/>
      <c r="E2" s="15" t="n"/>
      <c r="F2" s="15" t="n"/>
      <c r="G2" s="15" t="n"/>
      <c r="H2" s="15" t="n"/>
    </row>
    <row r="3" ht="26.39999961853027" customHeight="1">
      <c r="A3" s="15" t="inlineStr">
        <is>
          <t>Project name</t>
        </is>
      </c>
      <c r="B3" s="32" t="str"/>
      <c r="C3" s="15" t="n"/>
      <c r="D3" s="15" t="n"/>
      <c r="E3" s="15" t="n"/>
      <c r="F3" s="15" t="n"/>
      <c r="G3" s="15" t="n"/>
      <c r="H3" s="15" t="n"/>
    </row>
    <row r="4" ht="26.39999961853027" customHeight="1">
      <c r="A4" s="15" t="inlineStr">
        <is>
          <t>Site / jurisdiction</t>
        </is>
      </c>
      <c r="B4" s="32" t="str"/>
      <c r="C4" s="15" t="n"/>
      <c r="D4" s="15" t="n"/>
      <c r="E4" s="15" t="n"/>
      <c r="F4" s="15" t="n"/>
      <c r="G4" s="15" t="n"/>
      <c r="H4" s="15" t="n"/>
    </row>
    <row r="5" ht="26.39999961853027" customHeight="1">
      <c r="A5" s="15" t="inlineStr">
        <is>
          <t>Utility / LSE</t>
        </is>
      </c>
      <c r="B5" s="32" t="str"/>
      <c r="C5" s="15" t="n"/>
      <c r="D5" s="15" t="n"/>
      <c r="E5" s="15" t="n"/>
      <c r="F5" s="15" t="n"/>
      <c r="G5" s="15" t="n"/>
      <c r="H5" s="15" t="n"/>
    </row>
    <row r="6" ht="15" customHeight="1">
      <c r="A6" s="15" t="inlineStr">
        <is>
          <t>RTO / ISO</t>
        </is>
      </c>
      <c r="B6" s="32" t="str"/>
      <c r="C6" s="15" t="n"/>
      <c r="D6" s="15" t="n"/>
      <c r="E6" s="15" t="n"/>
      <c r="F6" s="15" t="n"/>
      <c r="G6" s="15" t="n"/>
      <c r="H6" s="15" t="n"/>
    </row>
    <row r="7" ht="26.39999961853027" customHeight="1">
      <c r="A7" s="15" t="inlineStr">
        <is>
          <t>Legal payer</t>
        </is>
      </c>
      <c r="B7" s="32" t="str"/>
      <c r="C7" s="15" t="n"/>
      <c r="D7" s="15" t="n"/>
      <c r="E7" s="15" t="n"/>
      <c r="F7" s="15" t="n"/>
      <c r="G7" s="15" t="n"/>
      <c r="H7" s="15" t="n"/>
    </row>
    <row r="8" ht="26.39999961853027" customHeight="1">
      <c r="A8" s="15" t="inlineStr">
        <is>
          <t>Parent / guarantor</t>
        </is>
      </c>
      <c r="B8" s="32" t="str"/>
      <c r="C8" s="15" t="n"/>
      <c r="D8" s="15" t="n"/>
      <c r="E8" s="15" t="n"/>
      <c r="F8" s="15" t="n"/>
      <c r="G8" s="15" t="n"/>
      <c r="H8" s="15" t="n"/>
    </row>
    <row r="9" ht="26.39999961853027" customHeight="1">
      <c r="A9" s="15" t="inlineStr">
        <is>
          <t>Project type</t>
        </is>
      </c>
      <c r="B9" s="32" t="str"/>
      <c r="C9" s="15" t="n"/>
      <c r="D9" s="15" t="n"/>
      <c r="E9" s="15" t="n"/>
      <c r="F9" s="15" t="n"/>
      <c r="G9" s="15" t="n"/>
      <c r="H9" s="15" t="n"/>
    </row>
    <row r="10" ht="26.39999961853027" customHeight="1">
      <c r="A10" s="15" t="inlineStr">
        <is>
          <t>Contracted MW</t>
        </is>
      </c>
      <c r="B10" s="32" t="str"/>
      <c r="C10" s="15" t="n"/>
      <c r="D10" s="15" t="n"/>
      <c r="E10" s="15" t="n"/>
      <c r="F10" s="15" t="n"/>
      <c r="G10" s="15" t="n"/>
      <c r="H10" s="15" t="n"/>
    </row>
    <row r="11" ht="39.59999847412109" customHeight="1">
      <c r="A11" s="15" t="inlineStr">
        <is>
          <t>Expected service date</t>
        </is>
      </c>
      <c r="B11" s="32" t="str"/>
      <c r="C11" s="15" t="n"/>
      <c r="D11" s="15" t="n"/>
      <c r="E11" s="15" t="n"/>
      <c r="F11" s="15" t="n"/>
      <c r="G11" s="15" t="n"/>
      <c r="H11" s="15" t="n"/>
    </row>
    <row r="12" ht="26.39999961853027" customHeight="1">
      <c r="A12" s="15" t="inlineStr">
        <is>
          <t>Ramp schedule</t>
        </is>
      </c>
      <c r="B12" s="32" t="str"/>
      <c r="C12" s="15" t="n"/>
      <c r="D12" s="15" t="n"/>
      <c r="E12" s="15" t="n"/>
      <c r="F12" s="15" t="n"/>
      <c r="G12" s="15" t="n"/>
      <c r="H12" s="15" t="n"/>
    </row>
    <row r="13" ht="132" customHeight="1">
      <c r="A13" s="15" t="inlineStr">
        <is>
          <t>Public-risk trigger</t>
        </is>
      </c>
      <c r="B13" s="32" t="inlineStr">
        <is>
          <t>Rate recovery / tax incentive / RTO forecast / public debt / expedited approval</t>
        </is>
      </c>
      <c r="C13" s="15" t="n"/>
      <c r="D13" s="15" t="n"/>
      <c r="E13" s="15" t="n"/>
      <c r="F13" s="15" t="n"/>
      <c r="G13" s="15" t="n"/>
      <c r="H13" s="15" t="n"/>
    </row>
    <row r="14" ht="26.39999961853027" customHeight="1">
      <c r="A14" s="15" t="inlineStr">
        <is>
          <t>Prepared by</t>
        </is>
      </c>
      <c r="B14" s="32" t="str"/>
      <c r="C14" s="15" t="n"/>
      <c r="D14" s="15" t="n"/>
      <c r="E14" s="15" t="n"/>
      <c r="F14" s="15" t="n"/>
      <c r="G14" s="15" t="n"/>
      <c r="H14" s="15" t="n"/>
    </row>
    <row r="15" ht="26.39999961853027" customHeight="1">
      <c r="A15" s="15" t="inlineStr">
        <is>
          <t>Prepared date</t>
        </is>
      </c>
      <c r="B15" s="32" t="str"/>
      <c r="C15" s="15" t="n"/>
      <c r="D15" s="15" t="n"/>
      <c r="E15" s="15" t="n"/>
      <c r="F15" s="15" t="n"/>
      <c r="G15" s="15" t="n"/>
      <c r="H15" s="15" t="n"/>
    </row>
    <row r="16" ht="79.19999694824219" customHeight="1">
      <c r="A16" s="15" t="inlineStr">
        <is>
          <t>Evidence status</t>
        </is>
      </c>
      <c r="B16" s="32" t="inlineStr">
        <is>
          <t>Public / Confidential-reviewable / Proxy / Missing / Contested</t>
        </is>
      </c>
      <c r="C16" s="15" t="n"/>
      <c r="D16" s="15" t="n"/>
      <c r="E16" s="15" t="n"/>
      <c r="F16" s="15" t="n"/>
      <c r="G16" s="15" t="n"/>
      <c r="H16" s="15" t="n"/>
    </row>
    <row r="17" ht="15" customHeight="1">
      <c r="A17" s="15" t="inlineStr">
        <is>
          <t>Version</t>
        </is>
      </c>
      <c r="B17" s="32" t="inlineStr">
        <is>
          <t>v1.0 RC2</t>
        </is>
      </c>
      <c r="C17" s="15" t="n"/>
      <c r="D17" s="15" t="n"/>
      <c r="E17" s="15" t="n"/>
      <c r="F17" s="15" t="n"/>
      <c r="G17" s="15" t="n"/>
      <c r="H17" s="15" t="n"/>
    </row>
    <row r="18" ht="158.3999938964844" customHeight="1">
      <c r="A18" s="15" t="inlineStr">
        <is>
          <t>Project type examples</t>
        </is>
      </c>
      <c r="B18" s="32" t="inlineStr">
        <is>
          <t>Hyperscaler owned / colo lease / speculative developer / behind-the-meter / flexible load</t>
        </is>
      </c>
      <c r="C18" s="15" t="n"/>
      <c r="D18" s="15" t="n"/>
      <c r="E18" s="15" t="n"/>
      <c r="F18" s="15" t="n"/>
      <c r="G18" s="15" t="n"/>
      <c r="H18" s="15" t="n"/>
    </row>
    <row r="19" ht="171.6000061035156" customHeight="1">
      <c r="A19" s="15" t="inlineStr">
        <is>
          <t>Discount rate basis</t>
        </is>
      </c>
      <c r="B19" s="32" t="inlineStr">
        <is>
          <t>Utility carrying cost / bond rate / social discount rate / customer credit-adjusted rate / commission-approved rate</t>
        </is>
      </c>
      <c r="C19" s="15" t="n"/>
      <c r="D19" s="15" t="n"/>
      <c r="E19" s="15" t="n"/>
      <c r="F19" s="15" t="n"/>
      <c r="G19" s="15" t="n"/>
      <c r="H19" s="15" t="n"/>
    </row>
    <row r="20" ht="39.59999847412109" customHeight="1">
      <c r="A20" s="15" t="inlineStr">
        <is>
          <t>Formal model needed?</t>
        </is>
      </c>
      <c r="B20" s="32" t="inlineStr">
        <is>
          <t>Y / N / Unknown</t>
        </is>
      </c>
      <c r="C20" s="15" t="n"/>
      <c r="D20" s="15" t="n"/>
      <c r="E20" s="15" t="n"/>
      <c r="F20" s="15" t="n"/>
      <c r="G20" s="15" t="n"/>
      <c r="H20" s="15" t="n"/>
    </row>
    <row r="21" ht="15" customHeight="1">
      <c r="A21" s="15" t="inlineStr">
        <is>
          <t>Notes</t>
        </is>
      </c>
      <c r="B21" s="32" t="str"/>
      <c r="C21" s="15" t="n"/>
      <c r="D21" s="15" t="n"/>
      <c r="E21" s="15" t="n"/>
      <c r="F21" s="15" t="n"/>
      <c r="G21" s="15" t="n"/>
      <c r="H21" s="15" t="n"/>
    </row>
    <row r="22" ht="15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 ht="15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 ht="15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</row>
  </sheetData>
  <sheetProtection selectLockedCells="0" selectUnlockedCells="1" sheet="1" objects="0" insertRows="0" insertHyperlinks="1" autoFilter="1" scenarios="0" formatColumns="0" deleteColumns="1" insertColumns="1" pivotTables="1" deleteRows="0" formatCells="1" formatRows="0" sort="1"/>
  <dataValidations count="3">
    <dataValidation sqref="B9" showDropDown="0" showInputMessage="0" showErrorMessage="0" allowBlank="1" type="list">
      <formula1>"Hyperscaler owned,Colo lease,Speculative developer,Behind-the-meter,Flexible load,Phased affiliate campus,Public power / co-op served"</formula1>
    </dataValidation>
    <dataValidation sqref="B16" showDropDown="0" showInputMessage="0" showErrorMessage="0" allowBlank="1" type="list">
      <formula1>"Public,Confidential-reviewable,Proxy,Missing,Contested"</formula1>
    </dataValidation>
    <dataValidation sqref="B20" showDropDown="0" showInputMessage="0" showErrorMessage="0" allowBlank="1" type="list">
      <formula1>"Y,N,Unknown"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23.32999992370605" customWidth="1" min="1" max="1"/>
    <col width="16.67000007629395" customWidth="1" min="2" max="2"/>
    <col width="16.67000007629395" customWidth="1" min="3" max="3"/>
    <col width="16.67000007629395" customWidth="1" min="4" max="4"/>
    <col width="16.67000007629395" customWidth="1" min="5" max="5"/>
    <col width="13.32999992370605" customWidth="1" min="6" max="6"/>
    <col width="13.32999992370605" customWidth="1" min="7" max="7"/>
    <col width="13.32999992370605" customWidth="1" min="8" max="8"/>
    <col width="13.32999992370605" customWidth="1" min="9" max="9"/>
    <col width="13.32999992370605" customWidth="1" min="10" max="10"/>
    <col width="22.78000068664551" customWidth="1" min="11" max="11"/>
    <col width="22.78000068664551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33.59999847412109" customHeight="1">
      <c r="A1" s="4" t="inlineStr">
        <is>
          <t>Electric Ledger</t>
        </is>
      </c>
      <c r="B1" s="4" t="str"/>
      <c r="C1" s="4" t="str"/>
      <c r="D1" s="4" t="str"/>
      <c r="E1" s="4" t="str"/>
      <c r="F1" s="4" t="str"/>
      <c r="G1" s="4" t="str"/>
      <c r="H1" s="4" t="str"/>
      <c r="I1" s="4" t="str"/>
      <c r="J1" s="4" t="str"/>
      <c r="K1" s="4" t="str"/>
      <c r="L1" s="4" t="str"/>
      <c r="M1" s="4" t="str"/>
      <c r="N1" s="4" t="str"/>
      <c r="O1" s="4" t="str"/>
      <c r="P1" s="4" t="str"/>
      <c r="Q1" s="4" t="str"/>
      <c r="R1" s="4" t="str"/>
      <c r="S1" s="4" t="str"/>
      <c r="T1" s="4" t="str"/>
    </row>
    <row r="2" ht="15" customHeight="1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</row>
    <row r="3" ht="39.59999847412109" customHeight="1">
      <c r="A3" s="8" t="inlineStr">
        <is>
          <t>Ledger line</t>
        </is>
      </c>
      <c r="B3" s="8" t="inlineStr">
        <is>
          <t>Applicability</t>
        </is>
      </c>
      <c r="C3" s="8" t="inlineStr">
        <is>
          <t>Causation category</t>
        </is>
      </c>
      <c r="D3" s="8" t="inlineStr">
        <is>
          <t>Evidence band</t>
        </is>
      </c>
      <c r="E3" s="8" t="inlineStr">
        <is>
          <t>Unit</t>
        </is>
      </c>
      <c r="F3" s="8" t="inlineStr">
        <is>
          <t>Base exposure</t>
        </is>
      </c>
      <c r="G3" s="8" t="inlineStr">
        <is>
          <t>Stress exposure</t>
        </is>
      </c>
      <c r="H3" s="8" t="inlineStr">
        <is>
          <t>Credited resources</t>
        </is>
      </c>
      <c r="I3" s="8" t="inlineStr">
        <is>
          <t>Base gap</t>
        </is>
      </c>
      <c r="J3" s="8" t="inlineStr">
        <is>
          <t>Stress gap</t>
        </is>
      </c>
      <c r="K3" s="8" t="inlineStr">
        <is>
          <t>Status</t>
        </is>
      </c>
      <c r="L3" s="8" t="inlineStr">
        <is>
          <t>Evidence status</t>
        </is>
      </c>
      <c r="M3" s="8" t="inlineStr">
        <is>
          <t>Residual claimant</t>
        </is>
      </c>
      <c r="N3" s="8" t="inlineStr">
        <is>
          <t>Source URL / docket</t>
        </is>
      </c>
      <c r="O3" s="8" t="inlineStr">
        <is>
          <t>Page / table / order pin</t>
        </is>
      </c>
      <c r="P3" s="8" t="inlineStr">
        <is>
          <t>Evidence ID</t>
        </is>
      </c>
      <c r="Q3" s="8" t="inlineStr">
        <is>
          <t>Evidence quality check</t>
        </is>
      </c>
      <c r="R3" s="8" t="inlineStr">
        <is>
          <t>Cross-ledger check</t>
        </is>
      </c>
      <c r="S3" s="8" t="inlineStr">
        <is>
          <t>Resource ledger of origin</t>
        </is>
      </c>
      <c r="T3" s="8" t="inlineStr">
        <is>
          <t>Notes</t>
        </is>
      </c>
    </row>
    <row r="4" ht="52.79999923706055" customHeight="1">
      <c r="A4" s="15" t="inlineStr">
        <is>
          <t>Direct interconnection</t>
        </is>
      </c>
      <c r="B4" s="32" t="inlineStr">
        <is>
          <t>Unknown</t>
        </is>
      </c>
      <c r="C4" s="32" t="inlineStr">
        <is>
          <t>But-for direct</t>
        </is>
      </c>
      <c r="D4" s="32" t="inlineStr">
        <is>
          <t>Strong / Medium / Proxy / Unknown</t>
        </is>
      </c>
      <c r="E4" s="32" t="inlineStr">
        <is>
          <t>one-time $</t>
        </is>
      </c>
      <c r="F4" s="33" t="str"/>
      <c r="G4" s="33" t="str"/>
      <c r="H4" s="33" t="str"/>
      <c r="I4" s="31">
        <f>IF(OR(A4="",B4&lt;&gt;"Triggered",F4="",H4=""),"",H4-F4)</f>
        <v/>
      </c>
      <c r="J4" s="31">
        <f>IF(OR(A4="",B4&lt;&gt;"Triggered",G4="",H4=""),"",H4-G4)</f>
        <v/>
      </c>
      <c r="K4" s="17">
        <f>IF(A4="","",IF(B4="Not applicable","Not applicable",IF(B4="Not triggered","Not triggered",IF(B4="Unknown","Unresolved, evidence missing",IF(L4="Confidential-reviewable","Unresolved, confidential but reviewable",IF(L4="Contested","Unresolved, contested",IF(COUNTIFS('Stress Cases'!$K$4:$K$12,"Electric Ledger",'Stress Cases'!$L$4:$L$12,A4,'Stress Cases'!$I$4:$I$12,"Failed under stress")&gt;0,"Failed under linked stress case",IF(COUNTIFS('Stress Cases'!$K$4:$K$12,"Electric Ledger",'Stress Cases'!$L$4:$L$12,A4,'Stress Cases'!$I$4:$I$12,"Unresolved*")&gt;0,"Unresolved, linked stress missing",IF(OR(F4="",H4=""),"Unresolved, evidence missing",IF(AND(H4&gt;0,S4=""),"Unresolved, resource origin missing",IF(OR(ISNUMBER(SEARCH("No evidence",Q4)),ISNUMBER(SEARCH("Missing substantive",Q4)),ISNUMBER(SEARCH("Contested substantive",Q4))),"Unresolved, evidence missing",IF(AND(R4="Yes",S4&lt;&gt;"Public-welfare transfer"),"Unresolved, cross-ledger transfer missing",IF(I4&lt;0,"Failed under stress",IF(AND(J4&lt;&gt;"",J4&lt;0),"Conditional pass","Pass"))))))))))))))</f>
        <v/>
      </c>
      <c r="L4" s="32" t="inlineStr">
        <is>
          <t>Missing</t>
        </is>
      </c>
      <c r="M4" s="32" t="str"/>
      <c r="N4" s="32" t="str"/>
      <c r="O4" s="32" t="str"/>
      <c r="P4" s="32" t="str"/>
      <c r="Q4" s="17">
        <f>IF(A4="","",IF(P4="","No evidence ID",IFERROR(IF(VLOOKUP(P4,'Evidence Register'!A:M,11,FALSE)="Missing","Missing substantive evidence",IF(VLOOKUP(P4,'Evidence Register'!A:M,11,FALSE)="Contested","Contested substantive evidence",IF(VLOOKUP(P4,'Evidence Register'!A:M,10,FALSE)="Pinned","Pinned evidence",IF(VLOOKUP(P4,'Evidence Register'!A:M,10,FALSE)="Confidential-reviewable","Reviewable evidence","Pin issue: "&amp;VLOOKUP(P4,'Evidence Register'!A:M,10,FALSE))))),"Missing evidence ID")))</f>
        <v/>
      </c>
      <c r="R4" s="17">
        <f>IF(A4="","",IF(OR(H4="",H4=0),"",IF(S4="","Missing origin",IF(S4&lt;&gt;"Electric Ledger","Yes","No"))))</f>
        <v/>
      </c>
      <c r="S4" s="32" t="str"/>
      <c r="T4" s="32" t="str"/>
    </row>
    <row r="5" ht="52.79999923706055" customHeight="1">
      <c r="A5" s="15" t="inlineStr">
        <is>
          <t>Shared network upgrade</t>
        </is>
      </c>
      <c r="B5" s="32" t="inlineStr">
        <is>
          <t>Unknown</t>
        </is>
      </c>
      <c r="C5" s="32" t="inlineStr">
        <is>
          <t>Triggered shared</t>
        </is>
      </c>
      <c r="D5" s="32" t="str"/>
      <c r="E5" s="32" t="inlineStr">
        <is>
          <t>one-time $ / NPV</t>
        </is>
      </c>
      <c r="F5" s="33" t="str"/>
      <c r="G5" s="33" t="str"/>
      <c r="H5" s="33" t="str"/>
      <c r="I5" s="31">
        <f>IF(OR(A5="",B5&lt;&gt;"Triggered",F5="",H5=""),"",H5-F5)</f>
        <v/>
      </c>
      <c r="J5" s="31">
        <f>IF(OR(A5="",B5&lt;&gt;"Triggered",G5="",H5=""),"",H5-G5)</f>
        <v/>
      </c>
      <c r="K5" s="17">
        <f>IF(A5="","",IF(B5="Not applicable","Not applicable",IF(B5="Not triggered","Not triggered",IF(B5="Unknown","Unresolved, evidence missing",IF(L5="Confidential-reviewable","Unresolved, confidential but reviewable",IF(L5="Contested","Unresolved, contested",IF(COUNTIFS('Stress Cases'!$K$4:$K$12,"Electric Ledger",'Stress Cases'!$L$4:$L$12,A5,'Stress Cases'!$I$4:$I$12,"Failed under stress")&gt;0,"Failed under linked stress case",IF(COUNTIFS('Stress Cases'!$K$4:$K$12,"Electric Ledger",'Stress Cases'!$L$4:$L$12,A5,'Stress Cases'!$I$4:$I$12,"Unresolved*")&gt;0,"Unresolved, linked stress missing",IF(OR(F5="",H5=""),"Unresolved, evidence missing",IF(AND(H5&gt;0,S5=""),"Unresolved, resource origin missing",IF(OR(ISNUMBER(SEARCH("No evidence",Q5)),ISNUMBER(SEARCH("Missing substantive",Q5)),ISNUMBER(SEARCH("Contested substantive",Q5))),"Unresolved, evidence missing",IF(AND(R5="Yes",S5&lt;&gt;"Public-welfare transfer"),"Unresolved, cross-ledger transfer missing",IF(I5&lt;0,"Failed under stress",IF(AND(J5&lt;&gt;"",J5&lt;0),"Conditional pass","Pass"))))))))))))))</f>
        <v/>
      </c>
      <c r="L5" s="32" t="inlineStr">
        <is>
          <t>Missing</t>
        </is>
      </c>
      <c r="M5" s="32" t="str"/>
      <c r="N5" s="32" t="str"/>
      <c r="O5" s="32" t="str"/>
      <c r="P5" s="32" t="str"/>
      <c r="Q5" s="17">
        <f>IF(A5="","",IF(P5="","No evidence ID",IFERROR(IF(VLOOKUP(P5,'Evidence Register'!A:M,11,FALSE)="Missing","Missing substantive evidence",IF(VLOOKUP(P5,'Evidence Register'!A:M,11,FALSE)="Contested","Contested substantive evidence",IF(VLOOKUP(P5,'Evidence Register'!A:M,10,FALSE)="Pinned","Pinned evidence",IF(VLOOKUP(P5,'Evidence Register'!A:M,10,FALSE)="Confidential-reviewable","Reviewable evidence","Pin issue: "&amp;VLOOKUP(P5,'Evidence Register'!A:M,10,FALSE))))),"Missing evidence ID")))</f>
        <v/>
      </c>
      <c r="R5" s="17">
        <f>IF(A5="","",IF(OR(H5="",H5=0),"",IF(S5="","Missing origin",IF(S5&lt;&gt;"Electric Ledger","Yes","No"))))</f>
        <v/>
      </c>
      <c r="S5" s="32" t="str"/>
      <c r="T5" s="32" t="str"/>
    </row>
    <row r="6" ht="52.79999923706055" customHeight="1">
      <c r="A6" s="15" t="inlineStr">
        <is>
          <t>Underuse fixed-cost exposure</t>
        </is>
      </c>
      <c r="B6" s="32" t="inlineStr">
        <is>
          <t>Unknown</t>
        </is>
      </c>
      <c r="C6" s="32" t="inlineStr">
        <is>
          <t>Forecast-reliance</t>
        </is>
      </c>
      <c r="D6" s="32" t="str"/>
      <c r="E6" s="32" t="inlineStr">
        <is>
          <t>$/year or NPV</t>
        </is>
      </c>
      <c r="F6" s="33" t="str"/>
      <c r="G6" s="33" t="str"/>
      <c r="H6" s="33" t="str"/>
      <c r="I6" s="31">
        <f>IF(OR(A6="",B6&lt;&gt;"Triggered",F6="",H6=""),"",H6-F6)</f>
        <v/>
      </c>
      <c r="J6" s="31">
        <f>IF(OR(A6="",B6&lt;&gt;"Triggered",G6="",H6=""),"",H6-G6)</f>
        <v/>
      </c>
      <c r="K6" s="17">
        <f>IF(A6="","",IF(B6="Not applicable","Not applicable",IF(B6="Not triggered","Not triggered",IF(B6="Unknown","Unresolved, evidence missing",IF(L6="Confidential-reviewable","Unresolved, confidential but reviewable",IF(L6="Contested","Unresolved, contested",IF(COUNTIFS('Stress Cases'!$K$4:$K$12,"Electric Ledger",'Stress Cases'!$L$4:$L$12,A6,'Stress Cases'!$I$4:$I$12,"Failed under stress")&gt;0,"Failed under linked stress case",IF(COUNTIFS('Stress Cases'!$K$4:$K$12,"Electric Ledger",'Stress Cases'!$L$4:$L$12,A6,'Stress Cases'!$I$4:$I$12,"Unresolved*")&gt;0,"Unresolved, linked stress missing",IF(OR(F6="",H6=""),"Unresolved, evidence missing",IF(AND(H6&gt;0,S6=""),"Unresolved, resource origin missing",IF(OR(ISNUMBER(SEARCH("No evidence",Q6)),ISNUMBER(SEARCH("Missing substantive",Q6)),ISNUMBER(SEARCH("Contested substantive",Q6))),"Unresolved, evidence missing",IF(AND(R6="Yes",S6&lt;&gt;"Public-welfare transfer"),"Unresolved, cross-ledger transfer missing",IF(I6&lt;0,"Failed under stress",IF(AND(J6&lt;&gt;"",J6&lt;0),"Conditional pass","Pass"))))))))))))))</f>
        <v/>
      </c>
      <c r="L6" s="32" t="inlineStr">
        <is>
          <t>Missing</t>
        </is>
      </c>
      <c r="M6" s="32" t="str"/>
      <c r="N6" s="32" t="str"/>
      <c r="O6" s="32" t="str"/>
      <c r="P6" s="32" t="str"/>
      <c r="Q6" s="17">
        <f>IF(A6="","",IF(P6="","No evidence ID",IFERROR(IF(VLOOKUP(P6,'Evidence Register'!A:M,11,FALSE)="Missing","Missing substantive evidence",IF(VLOOKUP(P6,'Evidence Register'!A:M,11,FALSE)="Contested","Contested substantive evidence",IF(VLOOKUP(P6,'Evidence Register'!A:M,10,FALSE)="Pinned","Pinned evidence",IF(VLOOKUP(P6,'Evidence Register'!A:M,10,FALSE)="Confidential-reviewable","Reviewable evidence","Pin issue: "&amp;VLOOKUP(P6,'Evidence Register'!A:M,10,FALSE))))),"Missing evidence ID")))</f>
        <v/>
      </c>
      <c r="R6" s="17">
        <f>IF(A6="","",IF(OR(H6="",H6=0),"",IF(S6="","Missing origin",IF(S6&lt;&gt;"Electric Ledger","Yes","No"))))</f>
        <v/>
      </c>
      <c r="S6" s="32" t="str"/>
      <c r="T6" s="32" t="str"/>
    </row>
    <row r="7" ht="52.79999923706055" customHeight="1">
      <c r="A7" s="15" t="inlineStr">
        <is>
          <t>Exit / stranded plant</t>
        </is>
      </c>
      <c r="B7" s="32" t="inlineStr">
        <is>
          <t>Unknown</t>
        </is>
      </c>
      <c r="C7" s="32" t="inlineStr">
        <is>
          <t>Forecast-reliance</t>
        </is>
      </c>
      <c r="D7" s="32" t="str"/>
      <c r="E7" s="32" t="inlineStr">
        <is>
          <t>remaining NBV</t>
        </is>
      </c>
      <c r="F7" s="33" t="str"/>
      <c r="G7" s="33" t="str"/>
      <c r="H7" s="33" t="str"/>
      <c r="I7" s="31">
        <f>IF(OR(A7="",B7&lt;&gt;"Triggered",F7="",H7=""),"",H7-F7)</f>
        <v/>
      </c>
      <c r="J7" s="31">
        <f>IF(OR(A7="",B7&lt;&gt;"Triggered",G7="",H7=""),"",H7-G7)</f>
        <v/>
      </c>
      <c r="K7" s="17">
        <f>IF(A7="","",IF(B7="Not applicable","Not applicable",IF(B7="Not triggered","Not triggered",IF(B7="Unknown","Unresolved, evidence missing",IF(L7="Confidential-reviewable","Unresolved, confidential but reviewable",IF(L7="Contested","Unresolved, contested",IF(COUNTIFS('Stress Cases'!$K$4:$K$12,"Electric Ledger",'Stress Cases'!$L$4:$L$12,A7,'Stress Cases'!$I$4:$I$12,"Failed under stress")&gt;0,"Failed under linked stress case",IF(COUNTIFS('Stress Cases'!$K$4:$K$12,"Electric Ledger",'Stress Cases'!$L$4:$L$12,A7,'Stress Cases'!$I$4:$I$12,"Unresolved*")&gt;0,"Unresolved, linked stress missing",IF(OR(F7="",H7=""),"Unresolved, evidence missing",IF(AND(H7&gt;0,S7=""),"Unresolved, resource origin missing",IF(OR(ISNUMBER(SEARCH("No evidence",Q7)),ISNUMBER(SEARCH("Missing substantive",Q7)),ISNUMBER(SEARCH("Contested substantive",Q7))),"Unresolved, evidence missing",IF(AND(R7="Yes",S7&lt;&gt;"Public-welfare transfer"),"Unresolved, cross-ledger transfer missing",IF(I7&lt;0,"Failed under stress",IF(AND(J7&lt;&gt;"",J7&lt;0),"Conditional pass","Pass"))))))))))))))</f>
        <v/>
      </c>
      <c r="L7" s="32" t="inlineStr">
        <is>
          <t>Missing</t>
        </is>
      </c>
      <c r="M7" s="32" t="str"/>
      <c r="N7" s="32" t="str"/>
      <c r="O7" s="32" t="str"/>
      <c r="P7" s="32" t="str"/>
      <c r="Q7" s="17">
        <f>IF(A7="","",IF(P7="","No evidence ID",IFERROR(IF(VLOOKUP(P7,'Evidence Register'!A:M,11,FALSE)="Missing","Missing substantive evidence",IF(VLOOKUP(P7,'Evidence Register'!A:M,11,FALSE)="Contested","Contested substantive evidence",IF(VLOOKUP(P7,'Evidence Register'!A:M,10,FALSE)="Pinned","Pinned evidence",IF(VLOOKUP(P7,'Evidence Register'!A:M,10,FALSE)="Confidential-reviewable","Reviewable evidence","Pin issue: "&amp;VLOOKUP(P7,'Evidence Register'!A:M,10,FALSE))))),"Missing evidence ID")))</f>
        <v/>
      </c>
      <c r="R7" s="17">
        <f>IF(A7="","",IF(OR(H7="",H7=0),"",IF(S7="","Missing origin",IF(S7&lt;&gt;"Electric Ledger","Yes","No"))))</f>
        <v/>
      </c>
      <c r="S7" s="32" t="str"/>
      <c r="T7" s="32" t="str"/>
    </row>
    <row r="8" ht="52.79999923706055" customHeight="1">
      <c r="A8" s="15" t="inlineStr">
        <is>
          <t>Rate-base / rider exposure</t>
        </is>
      </c>
      <c r="B8" s="32" t="inlineStr">
        <is>
          <t>Unknown</t>
        </is>
      </c>
      <c r="C8" s="32" t="inlineStr">
        <is>
          <t>Forecast-reliance</t>
        </is>
      </c>
      <c r="D8" s="32" t="str"/>
      <c r="E8" s="32" t="inlineStr">
        <is>
          <t>NPV / annual rider</t>
        </is>
      </c>
      <c r="F8" s="33" t="str"/>
      <c r="G8" s="33" t="str"/>
      <c r="H8" s="33" t="str"/>
      <c r="I8" s="31">
        <f>IF(OR(A8="",B8&lt;&gt;"Triggered",F8="",H8=""),"",H8-F8)</f>
        <v/>
      </c>
      <c r="J8" s="31">
        <f>IF(OR(A8="",B8&lt;&gt;"Triggered",G8="",H8=""),"",H8-G8)</f>
        <v/>
      </c>
      <c r="K8" s="17">
        <f>IF(A8="","",IF(B8="Not applicable","Not applicable",IF(B8="Not triggered","Not triggered",IF(B8="Unknown","Unresolved, evidence missing",IF(L8="Confidential-reviewable","Unresolved, confidential but reviewable",IF(L8="Contested","Unresolved, contested",IF(COUNTIFS('Stress Cases'!$K$4:$K$12,"Electric Ledger",'Stress Cases'!$L$4:$L$12,A8,'Stress Cases'!$I$4:$I$12,"Failed under stress")&gt;0,"Failed under linked stress case",IF(COUNTIFS('Stress Cases'!$K$4:$K$12,"Electric Ledger",'Stress Cases'!$L$4:$L$12,A8,'Stress Cases'!$I$4:$I$12,"Unresolved*")&gt;0,"Unresolved, linked stress missing",IF(OR(F8="",H8=""),"Unresolved, evidence missing",IF(AND(H8&gt;0,S8=""),"Unresolved, resource origin missing",IF(OR(ISNUMBER(SEARCH("No evidence",Q8)),ISNUMBER(SEARCH("Missing substantive",Q8)),ISNUMBER(SEARCH("Contested substantive",Q8))),"Unresolved, evidence missing",IF(AND(R8="Yes",S8&lt;&gt;"Public-welfare transfer"),"Unresolved, cross-ledger transfer missing",IF(I8&lt;0,"Failed under stress",IF(AND(J8&lt;&gt;"",J8&lt;0),"Conditional pass","Pass"))))))))))))))</f>
        <v/>
      </c>
      <c r="L8" s="32" t="inlineStr">
        <is>
          <t>Missing</t>
        </is>
      </c>
      <c r="M8" s="32" t="str"/>
      <c r="N8" s="32" t="str"/>
      <c r="O8" s="32" t="str"/>
      <c r="P8" s="32" t="str"/>
      <c r="Q8" s="17">
        <f>IF(A8="","",IF(P8="","No evidence ID",IFERROR(IF(VLOOKUP(P8,'Evidence Register'!A:M,11,FALSE)="Missing","Missing substantive evidence",IF(VLOOKUP(P8,'Evidence Register'!A:M,11,FALSE)="Contested","Contested substantive evidence",IF(VLOOKUP(P8,'Evidence Register'!A:M,10,FALSE)="Pinned","Pinned evidence",IF(VLOOKUP(P8,'Evidence Register'!A:M,10,FALSE)="Confidential-reviewable","Reviewable evidence","Pin issue: "&amp;VLOOKUP(P8,'Evidence Register'!A:M,10,FALSE))))),"Missing evidence ID")))</f>
        <v/>
      </c>
      <c r="R8" s="17">
        <f>IF(A8="","",IF(OR(H8="",H8=0),"",IF(S8="","Missing origin",IF(S8&lt;&gt;"Electric Ledger","Yes","No"))))</f>
        <v/>
      </c>
      <c r="S8" s="32" t="str"/>
      <c r="T8" s="32" t="str"/>
    </row>
    <row r="9" ht="15" customHeight="1">
      <c r="A9" s="15" t="str"/>
      <c r="B9" s="32" t="str"/>
      <c r="C9" s="32" t="str"/>
      <c r="D9" s="32" t="str"/>
      <c r="E9" s="32" t="str"/>
      <c r="F9" s="33" t="str"/>
      <c r="G9" s="33" t="str"/>
      <c r="H9" s="33" t="str"/>
      <c r="I9" s="31">
        <f>IF(OR(A9="",B9&lt;&gt;"Triggered",F9="",H9=""),"",H9-F9)</f>
        <v/>
      </c>
      <c r="J9" s="31">
        <f>IF(OR(A9="",B9&lt;&gt;"Triggered",G9="",H9=""),"",H9-G9)</f>
        <v/>
      </c>
      <c r="K9" s="17">
        <f>IF(A9="","",IF(B9="Not applicable","Not applicable",IF(B9="Not triggered","Not triggered",IF(B9="Unknown","Unresolved, evidence missing",IF(L9="Confidential-reviewable","Unresolved, confidential but reviewable",IF(L9="Contested","Unresolved, contested",IF(COUNTIFS('Stress Cases'!$K$4:$K$12,"Electric Ledger",'Stress Cases'!$L$4:$L$12,A9,'Stress Cases'!$I$4:$I$12,"Failed under stress")&gt;0,"Failed under linked stress case",IF(COUNTIFS('Stress Cases'!$K$4:$K$12,"Electric Ledger",'Stress Cases'!$L$4:$L$12,A9,'Stress Cases'!$I$4:$I$12,"Unresolved*")&gt;0,"Unresolved, linked stress missing",IF(OR(F9="",H9=""),"Unresolved, evidence missing",IF(AND(H9&gt;0,S9=""),"Unresolved, resource origin missing",IF(OR(ISNUMBER(SEARCH("No evidence",Q9)),ISNUMBER(SEARCH("Missing substantive",Q9)),ISNUMBER(SEARCH("Contested substantive",Q9))),"Unresolved, evidence missing",IF(AND(R9="Yes",S9&lt;&gt;"Public-welfare transfer"),"Unresolved, cross-ledger transfer missing",IF(I9&lt;0,"Failed under stress",IF(AND(J9&lt;&gt;"",J9&lt;0),"Conditional pass","Pass"))))))))))))))</f>
        <v/>
      </c>
      <c r="L9" s="32" t="str"/>
      <c r="M9" s="32" t="str"/>
      <c r="N9" s="32" t="str"/>
      <c r="O9" s="32" t="str"/>
      <c r="P9" s="32" t="str"/>
      <c r="Q9" s="17">
        <f>IF(A9="","",IF(P9="","No evidence ID",IFERROR(IF(VLOOKUP(P9,'Evidence Register'!A:M,11,FALSE)="Missing","Missing substantive evidence",IF(VLOOKUP(P9,'Evidence Register'!A:M,11,FALSE)="Contested","Contested substantive evidence",IF(VLOOKUP(P9,'Evidence Register'!A:M,10,FALSE)="Pinned","Pinned evidence",IF(VLOOKUP(P9,'Evidence Register'!A:M,10,FALSE)="Confidential-reviewable","Reviewable evidence","Pin issue: "&amp;VLOOKUP(P9,'Evidence Register'!A:M,10,FALSE))))),"Missing evidence ID")))</f>
        <v/>
      </c>
      <c r="R9" s="17">
        <f>IF(A9="","",IF(OR(H9="",H9=0),"",IF(S9="","Missing origin",IF(S9&lt;&gt;"Electric Ledger","Yes","No"))))</f>
        <v/>
      </c>
      <c r="S9" s="32" t="str"/>
      <c r="T9" s="32" t="str"/>
    </row>
    <row r="10" ht="15" customHeight="1">
      <c r="A10" s="15" t="str"/>
      <c r="B10" s="32" t="str"/>
      <c r="C10" s="32" t="str"/>
      <c r="D10" s="32" t="str"/>
      <c r="E10" s="32" t="str"/>
      <c r="F10" s="33" t="str"/>
      <c r="G10" s="33" t="str"/>
      <c r="H10" s="33" t="str"/>
      <c r="I10" s="31">
        <f>IF(OR(A10="",B10&lt;&gt;"Triggered",F10="",H10=""),"",H10-F10)</f>
        <v/>
      </c>
      <c r="J10" s="31">
        <f>IF(OR(A10="",B10&lt;&gt;"Triggered",G10="",H10=""),"",H10-G10)</f>
        <v/>
      </c>
      <c r="K10" s="17">
        <f>IF(A10="","",IF(B10="Not applicable","Not applicable",IF(B10="Not triggered","Not triggered",IF(B10="Unknown","Unresolved, evidence missing",IF(L10="Confidential-reviewable","Unresolved, confidential but reviewable",IF(L10="Contested","Unresolved, contested",IF(COUNTIFS('Stress Cases'!$K$4:$K$12,"Electric Ledger",'Stress Cases'!$L$4:$L$12,A10,'Stress Cases'!$I$4:$I$12,"Failed under stress")&gt;0,"Failed under linked stress case",IF(COUNTIFS('Stress Cases'!$K$4:$K$12,"Electric Ledger",'Stress Cases'!$L$4:$L$12,A10,'Stress Cases'!$I$4:$I$12,"Unresolved*")&gt;0,"Unresolved, linked stress missing",IF(OR(F10="",H10=""),"Unresolved, evidence missing",IF(AND(H10&gt;0,S10=""),"Unresolved, resource origin missing",IF(OR(ISNUMBER(SEARCH("No evidence",Q10)),ISNUMBER(SEARCH("Missing substantive",Q10)),ISNUMBER(SEARCH("Contested substantive",Q10))),"Unresolved, evidence missing",IF(AND(R10="Yes",S10&lt;&gt;"Public-welfare transfer"),"Unresolved, cross-ledger transfer missing",IF(I10&lt;0,"Failed under stress",IF(AND(J10&lt;&gt;"",J10&lt;0),"Conditional pass","Pass"))))))))))))))</f>
        <v/>
      </c>
      <c r="L10" s="32" t="str"/>
      <c r="M10" s="32" t="str"/>
      <c r="N10" s="32" t="str"/>
      <c r="O10" s="32" t="str"/>
      <c r="P10" s="32" t="str"/>
      <c r="Q10" s="17">
        <f>IF(A10="","",IF(P10="","No evidence ID",IFERROR(IF(VLOOKUP(P10,'Evidence Register'!A:M,11,FALSE)="Missing","Missing substantive evidence",IF(VLOOKUP(P10,'Evidence Register'!A:M,11,FALSE)="Contested","Contested substantive evidence",IF(VLOOKUP(P10,'Evidence Register'!A:M,10,FALSE)="Pinned","Pinned evidence",IF(VLOOKUP(P10,'Evidence Register'!A:M,10,FALSE)="Confidential-reviewable","Reviewable evidence","Pin issue: "&amp;VLOOKUP(P10,'Evidence Register'!A:M,10,FALSE))))),"Missing evidence ID")))</f>
        <v/>
      </c>
      <c r="R10" s="17">
        <f>IF(A10="","",IF(OR(H10="",H10=0),"",IF(S10="","Missing origin",IF(S10&lt;&gt;"Electric Ledger","Yes","No"))))</f>
        <v/>
      </c>
      <c r="S10" s="32" t="str"/>
      <c r="T10" s="32" t="str"/>
    </row>
    <row r="11" ht="15" customHeight="1">
      <c r="A11" s="15" t="str"/>
      <c r="B11" s="32" t="str"/>
      <c r="C11" s="32" t="str"/>
      <c r="D11" s="32" t="str"/>
      <c r="E11" s="32" t="str"/>
      <c r="F11" s="33" t="str"/>
      <c r="G11" s="33" t="str"/>
      <c r="H11" s="33" t="str"/>
      <c r="I11" s="31">
        <f>IF(OR(A11="",B11&lt;&gt;"Triggered",F11="",H11=""),"",H11-F11)</f>
        <v/>
      </c>
      <c r="J11" s="31">
        <f>IF(OR(A11="",B11&lt;&gt;"Triggered",G11="",H11=""),"",H11-G11)</f>
        <v/>
      </c>
      <c r="K11" s="17">
        <f>IF(A11="","",IF(B11="Not applicable","Not applicable",IF(B11="Not triggered","Not triggered",IF(B11="Unknown","Unresolved, evidence missing",IF(L11="Confidential-reviewable","Unresolved, confidential but reviewable",IF(L11="Contested","Unresolved, contested",IF(COUNTIFS('Stress Cases'!$K$4:$K$12,"Electric Ledger",'Stress Cases'!$L$4:$L$12,A11,'Stress Cases'!$I$4:$I$12,"Failed under stress")&gt;0,"Failed under linked stress case",IF(COUNTIFS('Stress Cases'!$K$4:$K$12,"Electric Ledger",'Stress Cases'!$L$4:$L$12,A11,'Stress Cases'!$I$4:$I$12,"Unresolved*")&gt;0,"Unresolved, linked stress missing",IF(OR(F11="",H11=""),"Unresolved, evidence missing",IF(AND(H11&gt;0,S11=""),"Unresolved, resource origin missing",IF(OR(ISNUMBER(SEARCH("No evidence",Q11)),ISNUMBER(SEARCH("Missing substantive",Q11)),ISNUMBER(SEARCH("Contested substantive",Q11))),"Unresolved, evidence missing",IF(AND(R11="Yes",S11&lt;&gt;"Public-welfare transfer"),"Unresolved, cross-ledger transfer missing",IF(I11&lt;0,"Failed under stress",IF(AND(J11&lt;&gt;"",J11&lt;0),"Conditional pass","Pass"))))))))))))))</f>
        <v/>
      </c>
      <c r="L11" s="32" t="str"/>
      <c r="M11" s="32" t="str"/>
      <c r="N11" s="32" t="str"/>
      <c r="O11" s="32" t="str"/>
      <c r="P11" s="32" t="str"/>
      <c r="Q11" s="17">
        <f>IF(A11="","",IF(P11="","No evidence ID",IFERROR(IF(VLOOKUP(P11,'Evidence Register'!A:M,11,FALSE)="Missing","Missing substantive evidence",IF(VLOOKUP(P11,'Evidence Register'!A:M,11,FALSE)="Contested","Contested substantive evidence",IF(VLOOKUP(P11,'Evidence Register'!A:M,10,FALSE)="Pinned","Pinned evidence",IF(VLOOKUP(P11,'Evidence Register'!A:M,10,FALSE)="Confidential-reviewable","Reviewable evidence","Pin issue: "&amp;VLOOKUP(P11,'Evidence Register'!A:M,10,FALSE))))),"Missing evidence ID")))</f>
        <v/>
      </c>
      <c r="R11" s="17">
        <f>IF(A11="","",IF(OR(H11="",H11=0),"",IF(S11="","Missing origin",IF(S11&lt;&gt;"Electric Ledger","Yes","No"))))</f>
        <v/>
      </c>
      <c r="S11" s="32" t="str"/>
      <c r="T11" s="32" t="str"/>
    </row>
    <row r="12" ht="15" customHeight="1">
      <c r="A12" s="15" t="str"/>
      <c r="B12" s="32" t="str"/>
      <c r="C12" s="32" t="str"/>
      <c r="D12" s="32" t="str"/>
      <c r="E12" s="32" t="str"/>
      <c r="F12" s="33" t="str"/>
      <c r="G12" s="33" t="str"/>
      <c r="H12" s="33" t="str"/>
      <c r="I12" s="31">
        <f>IF(OR(A12="",B12&lt;&gt;"Triggered",F12="",H12=""),"",H12-F12)</f>
        <v/>
      </c>
      <c r="J12" s="31">
        <f>IF(OR(A12="",B12&lt;&gt;"Triggered",G12="",H12=""),"",H12-G12)</f>
        <v/>
      </c>
      <c r="K12" s="17">
        <f>IF(A12="","",IF(B12="Not applicable","Not applicable",IF(B12="Not triggered","Not triggered",IF(B12="Unknown","Unresolved, evidence missing",IF(L12="Confidential-reviewable","Unresolved, confidential but reviewable",IF(L12="Contested","Unresolved, contested",IF(COUNTIFS('Stress Cases'!$K$4:$K$12,"Electric Ledger",'Stress Cases'!$L$4:$L$12,A12,'Stress Cases'!$I$4:$I$12,"Failed under stress")&gt;0,"Failed under linked stress case",IF(COUNTIFS('Stress Cases'!$K$4:$K$12,"Electric Ledger",'Stress Cases'!$L$4:$L$12,A12,'Stress Cases'!$I$4:$I$12,"Unresolved*")&gt;0,"Unresolved, linked stress missing",IF(OR(F12="",H12=""),"Unresolved, evidence missing",IF(AND(H12&gt;0,S12=""),"Unresolved, resource origin missing",IF(OR(ISNUMBER(SEARCH("No evidence",Q12)),ISNUMBER(SEARCH("Missing substantive",Q12)),ISNUMBER(SEARCH("Contested substantive",Q12))),"Unresolved, evidence missing",IF(AND(R12="Yes",S12&lt;&gt;"Public-welfare transfer"),"Unresolved, cross-ledger transfer missing",IF(I12&lt;0,"Failed under stress",IF(AND(J12&lt;&gt;"",J12&lt;0),"Conditional pass","Pass"))))))))))))))</f>
        <v/>
      </c>
      <c r="L12" s="32" t="str"/>
      <c r="M12" s="32" t="str"/>
      <c r="N12" s="32" t="str"/>
      <c r="O12" s="32" t="str"/>
      <c r="P12" s="32" t="str"/>
      <c r="Q12" s="17">
        <f>IF(A12="","",IF(P12="","No evidence ID",IFERROR(IF(VLOOKUP(P12,'Evidence Register'!A:M,11,FALSE)="Missing","Missing substantive evidence",IF(VLOOKUP(P12,'Evidence Register'!A:M,11,FALSE)="Contested","Contested substantive evidence",IF(VLOOKUP(P12,'Evidence Register'!A:M,10,FALSE)="Pinned","Pinned evidence",IF(VLOOKUP(P12,'Evidence Register'!A:M,10,FALSE)="Confidential-reviewable","Reviewable evidence","Pin issue: "&amp;VLOOKUP(P12,'Evidence Register'!A:M,10,FALSE))))),"Missing evidence ID")))</f>
        <v/>
      </c>
      <c r="R12" s="17">
        <f>IF(A12="","",IF(OR(H12="",H12=0),"",IF(S12="","Missing origin",IF(S12&lt;&gt;"Electric Ledger","Yes","No"))))</f>
        <v/>
      </c>
      <c r="S12" s="32" t="str"/>
      <c r="T12" s="32" t="str"/>
    </row>
    <row r="13" ht="15" customHeight="1">
      <c r="A13" s="15" t="str"/>
      <c r="B13" s="32" t="str"/>
      <c r="C13" s="32" t="str"/>
      <c r="D13" s="32" t="str"/>
      <c r="E13" s="32" t="str"/>
      <c r="F13" s="33" t="str"/>
      <c r="G13" s="33" t="str"/>
      <c r="H13" s="33" t="str"/>
      <c r="I13" s="31">
        <f>IF(OR(A13="",B13&lt;&gt;"Triggered",F13="",H13=""),"",H13-F13)</f>
        <v/>
      </c>
      <c r="J13" s="31">
        <f>IF(OR(A13="",B13&lt;&gt;"Triggered",G13="",H13=""),"",H13-G13)</f>
        <v/>
      </c>
      <c r="K13" s="17">
        <f>IF(A13="","",IF(B13="Not applicable","Not applicable",IF(B13="Not triggered","Not triggered",IF(B13="Unknown","Unresolved, evidence missing",IF(L13="Confidential-reviewable","Unresolved, confidential but reviewable",IF(L13="Contested","Unresolved, contested",IF(COUNTIFS('Stress Cases'!$K$4:$K$12,"Electric Ledger",'Stress Cases'!$L$4:$L$12,A13,'Stress Cases'!$I$4:$I$12,"Failed under stress")&gt;0,"Failed under linked stress case",IF(COUNTIFS('Stress Cases'!$K$4:$K$12,"Electric Ledger",'Stress Cases'!$L$4:$L$12,A13,'Stress Cases'!$I$4:$I$12,"Unresolved*")&gt;0,"Unresolved, linked stress missing",IF(OR(F13="",H13=""),"Unresolved, evidence missing",IF(AND(H13&gt;0,S13=""),"Unresolved, resource origin missing",IF(OR(ISNUMBER(SEARCH("No evidence",Q13)),ISNUMBER(SEARCH("Missing substantive",Q13)),ISNUMBER(SEARCH("Contested substantive",Q13))),"Unresolved, evidence missing",IF(AND(R13="Yes",S13&lt;&gt;"Public-welfare transfer"),"Unresolved, cross-ledger transfer missing",IF(I13&lt;0,"Failed under stress",IF(AND(J13&lt;&gt;"",J13&lt;0),"Conditional pass","Pass"))))))))))))))</f>
        <v/>
      </c>
      <c r="L13" s="32" t="str"/>
      <c r="M13" s="32" t="str"/>
      <c r="N13" s="32" t="str"/>
      <c r="O13" s="32" t="str"/>
      <c r="P13" s="32" t="str"/>
      <c r="Q13" s="17">
        <f>IF(A13="","",IF(P13="","No evidence ID",IFERROR(IF(VLOOKUP(P13,'Evidence Register'!A:M,11,FALSE)="Missing","Missing substantive evidence",IF(VLOOKUP(P13,'Evidence Register'!A:M,11,FALSE)="Contested","Contested substantive evidence",IF(VLOOKUP(P13,'Evidence Register'!A:M,10,FALSE)="Pinned","Pinned evidence",IF(VLOOKUP(P13,'Evidence Register'!A:M,10,FALSE)="Confidential-reviewable","Reviewable evidence","Pin issue: "&amp;VLOOKUP(P13,'Evidence Register'!A:M,10,FALSE))))),"Missing evidence ID")))</f>
        <v/>
      </c>
      <c r="R13" s="17">
        <f>IF(A13="","",IF(OR(H13="",H13=0),"",IF(S13="","Missing origin",IF(S13&lt;&gt;"Electric Ledger","Yes","No"))))</f>
        <v/>
      </c>
      <c r="S13" s="32" t="str"/>
      <c r="T13" s="32" t="str"/>
    </row>
    <row r="14" ht="15" customHeight="1">
      <c r="A14" s="15" t="str"/>
      <c r="B14" s="32" t="str"/>
      <c r="C14" s="32" t="str"/>
      <c r="D14" s="32" t="str"/>
      <c r="E14" s="32" t="str"/>
      <c r="F14" s="33" t="str"/>
      <c r="G14" s="33" t="str"/>
      <c r="H14" s="33" t="str"/>
      <c r="I14" s="31">
        <f>IF(OR(A14="",B14&lt;&gt;"Triggered",F14="",H14=""),"",H14-F14)</f>
        <v/>
      </c>
      <c r="J14" s="31">
        <f>IF(OR(A14="",B14&lt;&gt;"Triggered",G14="",H14=""),"",H14-G14)</f>
        <v/>
      </c>
      <c r="K14" s="17">
        <f>IF(A14="","",IF(B14="Not applicable","Not applicable",IF(B14="Not triggered","Not triggered",IF(B14="Unknown","Unresolved, evidence missing",IF(L14="Confidential-reviewable","Unresolved, confidential but reviewable",IF(L14="Contested","Unresolved, contested",IF(COUNTIFS('Stress Cases'!$K$4:$K$12,"Electric Ledger",'Stress Cases'!$L$4:$L$12,A14,'Stress Cases'!$I$4:$I$12,"Failed under stress")&gt;0,"Failed under linked stress case",IF(COUNTIFS('Stress Cases'!$K$4:$K$12,"Electric Ledger",'Stress Cases'!$L$4:$L$12,A14,'Stress Cases'!$I$4:$I$12,"Unresolved*")&gt;0,"Unresolved, linked stress missing",IF(OR(F14="",H14=""),"Unresolved, evidence missing",IF(AND(H14&gt;0,S14=""),"Unresolved, resource origin missing",IF(OR(ISNUMBER(SEARCH("No evidence",Q14)),ISNUMBER(SEARCH("Missing substantive",Q14)),ISNUMBER(SEARCH("Contested substantive",Q14))),"Unresolved, evidence missing",IF(AND(R14="Yes",S14&lt;&gt;"Public-welfare transfer"),"Unresolved, cross-ledger transfer missing",IF(I14&lt;0,"Failed under stress",IF(AND(J14&lt;&gt;"",J14&lt;0),"Conditional pass","Pass"))))))))))))))</f>
        <v/>
      </c>
      <c r="L14" s="32" t="str"/>
      <c r="M14" s="32" t="str"/>
      <c r="N14" s="32" t="str"/>
      <c r="O14" s="32" t="str"/>
      <c r="P14" s="32" t="str"/>
      <c r="Q14" s="17">
        <f>IF(A14="","",IF(P14="","No evidence ID",IFERROR(IF(VLOOKUP(P14,'Evidence Register'!A:M,11,FALSE)="Missing","Missing substantive evidence",IF(VLOOKUP(P14,'Evidence Register'!A:M,11,FALSE)="Contested","Contested substantive evidence",IF(VLOOKUP(P14,'Evidence Register'!A:M,10,FALSE)="Pinned","Pinned evidence",IF(VLOOKUP(P14,'Evidence Register'!A:M,10,FALSE)="Confidential-reviewable","Reviewable evidence","Pin issue: "&amp;VLOOKUP(P14,'Evidence Register'!A:M,10,FALSE))))),"Missing evidence ID")))</f>
        <v/>
      </c>
      <c r="R14" s="17">
        <f>IF(A14="","",IF(OR(H14="",H14=0),"",IF(S14="","Missing origin",IF(S14&lt;&gt;"Electric Ledger","Yes","No"))))</f>
        <v/>
      </c>
      <c r="S14" s="32" t="str"/>
      <c r="T14" s="32" t="str"/>
    </row>
    <row r="15" ht="15" customHeight="1">
      <c r="A15" s="15" t="str"/>
      <c r="B15" s="32" t="str"/>
      <c r="C15" s="32" t="str"/>
      <c r="D15" s="32" t="str"/>
      <c r="E15" s="32" t="str"/>
      <c r="F15" s="33" t="str"/>
      <c r="G15" s="33" t="str"/>
      <c r="H15" s="33" t="str"/>
      <c r="I15" s="31">
        <f>IF(OR(A15="",B15&lt;&gt;"Triggered",F15="",H15=""),"",H15-F15)</f>
        <v/>
      </c>
      <c r="J15" s="31">
        <f>IF(OR(A15="",B15&lt;&gt;"Triggered",G15="",H15=""),"",H15-G15)</f>
        <v/>
      </c>
      <c r="K15" s="17">
        <f>IF(A15="","",IF(B15="Not applicable","Not applicable",IF(B15="Not triggered","Not triggered",IF(B15="Unknown","Unresolved, evidence missing",IF(L15="Confidential-reviewable","Unresolved, confidential but reviewable",IF(L15="Contested","Unresolved, contested",IF(COUNTIFS('Stress Cases'!$K$4:$K$12,"Electric Ledger",'Stress Cases'!$L$4:$L$12,A15,'Stress Cases'!$I$4:$I$12,"Failed under stress")&gt;0,"Failed under linked stress case",IF(COUNTIFS('Stress Cases'!$K$4:$K$12,"Electric Ledger",'Stress Cases'!$L$4:$L$12,A15,'Stress Cases'!$I$4:$I$12,"Unresolved*")&gt;0,"Unresolved, linked stress missing",IF(OR(F15="",H15=""),"Unresolved, evidence missing",IF(AND(H15&gt;0,S15=""),"Unresolved, resource origin missing",IF(OR(ISNUMBER(SEARCH("No evidence",Q15)),ISNUMBER(SEARCH("Missing substantive",Q15)),ISNUMBER(SEARCH("Contested substantive",Q15))),"Unresolved, evidence missing",IF(AND(R15="Yes",S15&lt;&gt;"Public-welfare transfer"),"Unresolved, cross-ledger transfer missing",IF(I15&lt;0,"Failed under stress",IF(AND(J15&lt;&gt;"",J15&lt;0),"Conditional pass","Pass"))))))))))))))</f>
        <v/>
      </c>
      <c r="L15" s="32" t="str"/>
      <c r="M15" s="32" t="str"/>
      <c r="N15" s="32" t="str"/>
      <c r="O15" s="32" t="str"/>
      <c r="P15" s="32" t="str"/>
      <c r="Q15" s="17">
        <f>IF(A15="","",IF(P15="","No evidence ID",IFERROR(IF(VLOOKUP(P15,'Evidence Register'!A:M,11,FALSE)="Missing","Missing substantive evidence",IF(VLOOKUP(P15,'Evidence Register'!A:M,11,FALSE)="Contested","Contested substantive evidence",IF(VLOOKUP(P15,'Evidence Register'!A:M,10,FALSE)="Pinned","Pinned evidence",IF(VLOOKUP(P15,'Evidence Register'!A:M,10,FALSE)="Confidential-reviewable","Reviewable evidence","Pin issue: "&amp;VLOOKUP(P15,'Evidence Register'!A:M,10,FALSE))))),"Missing evidence ID")))</f>
        <v/>
      </c>
      <c r="R15" s="17">
        <f>IF(A15="","",IF(OR(H15="",H15=0),"",IF(S15="","Missing origin",IF(S15&lt;&gt;"Electric Ledger","Yes","No"))))</f>
        <v/>
      </c>
      <c r="S15" s="32" t="str"/>
      <c r="T15" s="32" t="str"/>
    </row>
    <row r="16" ht="15" customHeight="1">
      <c r="A16" s="15" t="str"/>
      <c r="B16" s="32" t="str"/>
      <c r="C16" s="32" t="str"/>
      <c r="D16" s="32" t="str"/>
      <c r="E16" s="32" t="str"/>
      <c r="F16" s="33" t="str"/>
      <c r="G16" s="33" t="str"/>
      <c r="H16" s="33" t="str"/>
      <c r="I16" s="31">
        <f>IF(OR(A16="",B16&lt;&gt;"Triggered",F16="",H16=""),"",H16-F16)</f>
        <v/>
      </c>
      <c r="J16" s="31">
        <f>IF(OR(A16="",B16&lt;&gt;"Triggered",G16="",H16=""),"",H16-G16)</f>
        <v/>
      </c>
      <c r="K16" s="17">
        <f>IF(A16="","",IF(B16="Not applicable","Not applicable",IF(B16="Not triggered","Not triggered",IF(B16="Unknown","Unresolved, evidence missing",IF(L16="Confidential-reviewable","Unresolved, confidential but reviewable",IF(L16="Contested","Unresolved, contested",IF(COUNTIFS('Stress Cases'!$K$4:$K$12,"Electric Ledger",'Stress Cases'!$L$4:$L$12,A16,'Stress Cases'!$I$4:$I$12,"Failed under stress")&gt;0,"Failed under linked stress case",IF(COUNTIFS('Stress Cases'!$K$4:$K$12,"Electric Ledger",'Stress Cases'!$L$4:$L$12,A16,'Stress Cases'!$I$4:$I$12,"Unresolved*")&gt;0,"Unresolved, linked stress missing",IF(OR(F16="",H16=""),"Unresolved, evidence missing",IF(AND(H16&gt;0,S16=""),"Unresolved, resource origin missing",IF(OR(ISNUMBER(SEARCH("No evidence",Q16)),ISNUMBER(SEARCH("Missing substantive",Q16)),ISNUMBER(SEARCH("Contested substantive",Q16))),"Unresolved, evidence missing",IF(AND(R16="Yes",S16&lt;&gt;"Public-welfare transfer"),"Unresolved, cross-ledger transfer missing",IF(I16&lt;0,"Failed under stress",IF(AND(J16&lt;&gt;"",J16&lt;0),"Conditional pass","Pass"))))))))))))))</f>
        <v/>
      </c>
      <c r="L16" s="32" t="str"/>
      <c r="M16" s="32" t="str"/>
      <c r="N16" s="32" t="str"/>
      <c r="O16" s="32" t="str"/>
      <c r="P16" s="32" t="str"/>
      <c r="Q16" s="17">
        <f>IF(A16="","",IF(P16="","No evidence ID",IFERROR(IF(VLOOKUP(P16,'Evidence Register'!A:M,11,FALSE)="Missing","Missing substantive evidence",IF(VLOOKUP(P16,'Evidence Register'!A:M,11,FALSE)="Contested","Contested substantive evidence",IF(VLOOKUP(P16,'Evidence Register'!A:M,10,FALSE)="Pinned","Pinned evidence",IF(VLOOKUP(P16,'Evidence Register'!A:M,10,FALSE)="Confidential-reviewable","Reviewable evidence","Pin issue: "&amp;VLOOKUP(P16,'Evidence Register'!A:M,10,FALSE))))),"Missing evidence ID")))</f>
        <v/>
      </c>
      <c r="R16" s="17">
        <f>IF(A16="","",IF(OR(H16="",H16=0),"",IF(S16="","Missing origin",IF(S16&lt;&gt;"Electric Ledger","Yes","No"))))</f>
        <v/>
      </c>
      <c r="S16" s="32" t="str"/>
      <c r="T16" s="32" t="str"/>
    </row>
    <row r="17" ht="15" customHeight="1">
      <c r="A17" s="15" t="str"/>
      <c r="B17" s="32" t="str"/>
      <c r="C17" s="32" t="str"/>
      <c r="D17" s="32" t="str"/>
      <c r="E17" s="32" t="str"/>
      <c r="F17" s="33" t="str"/>
      <c r="G17" s="33" t="str"/>
      <c r="H17" s="33" t="str"/>
      <c r="I17" s="31">
        <f>IF(OR(A17="",B17&lt;&gt;"Triggered",F17="",H17=""),"",H17-F17)</f>
        <v/>
      </c>
      <c r="J17" s="31">
        <f>IF(OR(A17="",B17&lt;&gt;"Triggered",G17="",H17=""),"",H17-G17)</f>
        <v/>
      </c>
      <c r="K17" s="17">
        <f>IF(A17="","",IF(B17="Not applicable","Not applicable",IF(B17="Not triggered","Not triggered",IF(B17="Unknown","Unresolved, evidence missing",IF(L17="Confidential-reviewable","Unresolved, confidential but reviewable",IF(L17="Contested","Unresolved, contested",IF(COUNTIFS('Stress Cases'!$K$4:$K$12,"Electric Ledger",'Stress Cases'!$L$4:$L$12,A17,'Stress Cases'!$I$4:$I$12,"Failed under stress")&gt;0,"Failed under linked stress case",IF(COUNTIFS('Stress Cases'!$K$4:$K$12,"Electric Ledger",'Stress Cases'!$L$4:$L$12,A17,'Stress Cases'!$I$4:$I$12,"Unresolved*")&gt;0,"Unresolved, linked stress missing",IF(OR(F17="",H17=""),"Unresolved, evidence missing",IF(AND(H17&gt;0,S17=""),"Unresolved, resource origin missing",IF(OR(ISNUMBER(SEARCH("No evidence",Q17)),ISNUMBER(SEARCH("Missing substantive",Q17)),ISNUMBER(SEARCH("Contested substantive",Q17))),"Unresolved, evidence missing",IF(AND(R17="Yes",S17&lt;&gt;"Public-welfare transfer"),"Unresolved, cross-ledger transfer missing",IF(I17&lt;0,"Failed under stress",IF(AND(J17&lt;&gt;"",J17&lt;0),"Conditional pass","Pass"))))))))))))))</f>
        <v/>
      </c>
      <c r="L17" s="32" t="str"/>
      <c r="M17" s="32" t="str"/>
      <c r="N17" s="32" t="str"/>
      <c r="O17" s="32" t="str"/>
      <c r="P17" s="32" t="str"/>
      <c r="Q17" s="17">
        <f>IF(A17="","",IF(P17="","No evidence ID",IFERROR(IF(VLOOKUP(P17,'Evidence Register'!A:M,11,FALSE)="Missing","Missing substantive evidence",IF(VLOOKUP(P17,'Evidence Register'!A:M,11,FALSE)="Contested","Contested substantive evidence",IF(VLOOKUP(P17,'Evidence Register'!A:M,10,FALSE)="Pinned","Pinned evidence",IF(VLOOKUP(P17,'Evidence Register'!A:M,10,FALSE)="Confidential-reviewable","Reviewable evidence","Pin issue: "&amp;VLOOKUP(P17,'Evidence Register'!A:M,10,FALSE))))),"Missing evidence ID")))</f>
        <v/>
      </c>
      <c r="R17" s="17">
        <f>IF(A17="","",IF(OR(H17="",H17=0),"",IF(S17="","Missing origin",IF(S17&lt;&gt;"Electric Ledger","Yes","No"))))</f>
        <v/>
      </c>
      <c r="S17" s="32" t="str"/>
      <c r="T17" s="32" t="str"/>
    </row>
    <row r="18" ht="15" customHeight="1">
      <c r="A18" s="15" t="str"/>
      <c r="B18" s="32" t="str"/>
      <c r="C18" s="32" t="str"/>
      <c r="D18" s="32" t="str"/>
      <c r="E18" s="32" t="str"/>
      <c r="F18" s="33" t="str"/>
      <c r="G18" s="33" t="str"/>
      <c r="H18" s="33" t="str"/>
      <c r="I18" s="31">
        <f>IF(OR(A18="",B18&lt;&gt;"Triggered",F18="",H18=""),"",H18-F18)</f>
        <v/>
      </c>
      <c r="J18" s="31">
        <f>IF(OR(A18="",B18&lt;&gt;"Triggered",G18="",H18=""),"",H18-G18)</f>
        <v/>
      </c>
      <c r="K18" s="17">
        <f>IF(A18="","",IF(B18="Not applicable","Not applicable",IF(B18="Not triggered","Not triggered",IF(B18="Unknown","Unresolved, evidence missing",IF(L18="Confidential-reviewable","Unresolved, confidential but reviewable",IF(L18="Contested","Unresolved, contested",IF(COUNTIFS('Stress Cases'!$K$4:$K$12,"Electric Ledger",'Stress Cases'!$L$4:$L$12,A18,'Stress Cases'!$I$4:$I$12,"Failed under stress")&gt;0,"Failed under linked stress case",IF(COUNTIFS('Stress Cases'!$K$4:$K$12,"Electric Ledger",'Stress Cases'!$L$4:$L$12,A18,'Stress Cases'!$I$4:$I$12,"Unresolved*")&gt;0,"Unresolved, linked stress missing",IF(OR(F18="",H18=""),"Unresolved, evidence missing",IF(AND(H18&gt;0,S18=""),"Unresolved, resource origin missing",IF(OR(ISNUMBER(SEARCH("No evidence",Q18)),ISNUMBER(SEARCH("Missing substantive",Q18)),ISNUMBER(SEARCH("Contested substantive",Q18))),"Unresolved, evidence missing",IF(AND(R18="Yes",S18&lt;&gt;"Public-welfare transfer"),"Unresolved, cross-ledger transfer missing",IF(I18&lt;0,"Failed under stress",IF(AND(J18&lt;&gt;"",J18&lt;0),"Conditional pass","Pass"))))))))))))))</f>
        <v/>
      </c>
      <c r="L18" s="32" t="str"/>
      <c r="M18" s="32" t="str"/>
      <c r="N18" s="32" t="str"/>
      <c r="O18" s="32" t="str"/>
      <c r="P18" s="32" t="str"/>
      <c r="Q18" s="17">
        <f>IF(A18="","",IF(P18="","No evidence ID",IFERROR(IF(VLOOKUP(P18,'Evidence Register'!A:M,11,FALSE)="Missing","Missing substantive evidence",IF(VLOOKUP(P18,'Evidence Register'!A:M,11,FALSE)="Contested","Contested substantive evidence",IF(VLOOKUP(P18,'Evidence Register'!A:M,10,FALSE)="Pinned","Pinned evidence",IF(VLOOKUP(P18,'Evidence Register'!A:M,10,FALSE)="Confidential-reviewable","Reviewable evidence","Pin issue: "&amp;VLOOKUP(P18,'Evidence Register'!A:M,10,FALSE))))),"Missing evidence ID")))</f>
        <v/>
      </c>
      <c r="R18" s="17">
        <f>IF(A18="","",IF(OR(H18="",H18=0),"",IF(S18="","Missing origin",IF(S18&lt;&gt;"Electric Ledger","Yes","No"))))</f>
        <v/>
      </c>
      <c r="S18" s="32" t="str"/>
      <c r="T18" s="32" t="str"/>
    </row>
    <row r="19" ht="15" customHeight="1">
      <c r="A19" s="15" t="str"/>
      <c r="B19" s="32" t="str"/>
      <c r="C19" s="32" t="str"/>
      <c r="D19" s="32" t="str"/>
      <c r="E19" s="32" t="str"/>
      <c r="F19" s="33" t="str"/>
      <c r="G19" s="33" t="str"/>
      <c r="H19" s="33" t="str"/>
      <c r="I19" s="31">
        <f>IF(OR(A19="",B19&lt;&gt;"Triggered",F19="",H19=""),"",H19-F19)</f>
        <v/>
      </c>
      <c r="J19" s="31">
        <f>IF(OR(A19="",B19&lt;&gt;"Triggered",G19="",H19=""),"",H19-G19)</f>
        <v/>
      </c>
      <c r="K19" s="17">
        <f>IF(A19="","",IF(B19="Not applicable","Not applicable",IF(B19="Not triggered","Not triggered",IF(B19="Unknown","Unresolved, evidence missing",IF(L19="Confidential-reviewable","Unresolved, confidential but reviewable",IF(L19="Contested","Unresolved, contested",IF(COUNTIFS('Stress Cases'!$K$4:$K$12,"Electric Ledger",'Stress Cases'!$L$4:$L$12,A19,'Stress Cases'!$I$4:$I$12,"Failed under stress")&gt;0,"Failed under linked stress case",IF(COUNTIFS('Stress Cases'!$K$4:$K$12,"Electric Ledger",'Stress Cases'!$L$4:$L$12,A19,'Stress Cases'!$I$4:$I$12,"Unresolved*")&gt;0,"Unresolved, linked stress missing",IF(OR(F19="",H19=""),"Unresolved, evidence missing",IF(AND(H19&gt;0,S19=""),"Unresolved, resource origin missing",IF(OR(ISNUMBER(SEARCH("No evidence",Q19)),ISNUMBER(SEARCH("Missing substantive",Q19)),ISNUMBER(SEARCH("Contested substantive",Q19))),"Unresolved, evidence missing",IF(AND(R19="Yes",S19&lt;&gt;"Public-welfare transfer"),"Unresolved, cross-ledger transfer missing",IF(I19&lt;0,"Failed under stress",IF(AND(J19&lt;&gt;"",J19&lt;0),"Conditional pass","Pass"))))))))))))))</f>
        <v/>
      </c>
      <c r="L19" s="32" t="str"/>
      <c r="M19" s="32" t="str"/>
      <c r="N19" s="32" t="str"/>
      <c r="O19" s="32" t="str"/>
      <c r="P19" s="32" t="str"/>
      <c r="Q19" s="17">
        <f>IF(A19="","",IF(P19="","No evidence ID",IFERROR(IF(VLOOKUP(P19,'Evidence Register'!A:M,11,FALSE)="Missing","Missing substantive evidence",IF(VLOOKUP(P19,'Evidence Register'!A:M,11,FALSE)="Contested","Contested substantive evidence",IF(VLOOKUP(P19,'Evidence Register'!A:M,10,FALSE)="Pinned","Pinned evidence",IF(VLOOKUP(P19,'Evidence Register'!A:M,10,FALSE)="Confidential-reviewable","Reviewable evidence","Pin issue: "&amp;VLOOKUP(P19,'Evidence Register'!A:M,10,FALSE))))),"Missing evidence ID")))</f>
        <v/>
      </c>
      <c r="R19" s="17">
        <f>IF(A19="","",IF(OR(H19="",H19=0),"",IF(S19="","Missing origin",IF(S19&lt;&gt;"Electric Ledger","Yes","No"))))</f>
        <v/>
      </c>
      <c r="S19" s="32" t="str"/>
      <c r="T19" s="32" t="str"/>
    </row>
    <row r="20" ht="15" customHeight="1">
      <c r="A20" s="15" t="str"/>
      <c r="B20" s="32" t="str"/>
      <c r="C20" s="32" t="str"/>
      <c r="D20" s="32" t="str"/>
      <c r="E20" s="32" t="str"/>
      <c r="F20" s="33" t="str"/>
      <c r="G20" s="33" t="str"/>
      <c r="H20" s="33" t="str"/>
      <c r="I20" s="31">
        <f>IF(OR(A20="",B20&lt;&gt;"Triggered",F20="",H20=""),"",H20-F20)</f>
        <v/>
      </c>
      <c r="J20" s="31">
        <f>IF(OR(A20="",B20&lt;&gt;"Triggered",G20="",H20=""),"",H20-G20)</f>
        <v/>
      </c>
      <c r="K20" s="17">
        <f>IF(A20="","",IF(B20="Not applicable","Not applicable",IF(B20="Not triggered","Not triggered",IF(B20="Unknown","Unresolved, evidence missing",IF(L20="Confidential-reviewable","Unresolved, confidential but reviewable",IF(L20="Contested","Unresolved, contested",IF(COUNTIFS('Stress Cases'!$K$4:$K$12,"Electric Ledger",'Stress Cases'!$L$4:$L$12,A20,'Stress Cases'!$I$4:$I$12,"Failed under stress")&gt;0,"Failed under linked stress case",IF(COUNTIFS('Stress Cases'!$K$4:$K$12,"Electric Ledger",'Stress Cases'!$L$4:$L$12,A20,'Stress Cases'!$I$4:$I$12,"Unresolved*")&gt;0,"Unresolved, linked stress missing",IF(OR(F20="",H20=""),"Unresolved, evidence missing",IF(AND(H20&gt;0,S20=""),"Unresolved, resource origin missing",IF(OR(ISNUMBER(SEARCH("No evidence",Q20)),ISNUMBER(SEARCH("Missing substantive",Q20)),ISNUMBER(SEARCH("Contested substantive",Q20))),"Unresolved, evidence missing",IF(AND(R20="Yes",S20&lt;&gt;"Public-welfare transfer"),"Unresolved, cross-ledger transfer missing",IF(I20&lt;0,"Failed under stress",IF(AND(J20&lt;&gt;"",J20&lt;0),"Conditional pass","Pass"))))))))))))))</f>
        <v/>
      </c>
      <c r="L20" s="32" t="str"/>
      <c r="M20" s="32" t="str"/>
      <c r="N20" s="32" t="str"/>
      <c r="O20" s="32" t="str"/>
      <c r="P20" s="32" t="str"/>
      <c r="Q20" s="17">
        <f>IF(A20="","",IF(P20="","No evidence ID",IFERROR(IF(VLOOKUP(P20,'Evidence Register'!A:M,11,FALSE)="Missing","Missing substantive evidence",IF(VLOOKUP(P20,'Evidence Register'!A:M,11,FALSE)="Contested","Contested substantive evidence",IF(VLOOKUP(P20,'Evidence Register'!A:M,10,FALSE)="Pinned","Pinned evidence",IF(VLOOKUP(P20,'Evidence Register'!A:M,10,FALSE)="Confidential-reviewable","Reviewable evidence","Pin issue: "&amp;VLOOKUP(P20,'Evidence Register'!A:M,10,FALSE))))),"Missing evidence ID")))</f>
        <v/>
      </c>
      <c r="R20" s="17">
        <f>IF(A20="","",IF(OR(H20="",H20=0),"",IF(S20="","Missing origin",IF(S20&lt;&gt;"Electric Ledger","Yes","No"))))</f>
        <v/>
      </c>
      <c r="S20" s="32" t="str"/>
      <c r="T20" s="32" t="str"/>
    </row>
    <row r="21" ht="15" customHeight="1">
      <c r="A21" s="15" t="str"/>
      <c r="B21" s="32" t="str"/>
      <c r="C21" s="32" t="str"/>
      <c r="D21" s="32" t="str"/>
      <c r="E21" s="32" t="str"/>
      <c r="F21" s="33" t="str"/>
      <c r="G21" s="33" t="str"/>
      <c r="H21" s="33" t="str"/>
      <c r="I21" s="31">
        <f>IF(OR(A21="",B21&lt;&gt;"Triggered",F21="",H21=""),"",H21-F21)</f>
        <v/>
      </c>
      <c r="J21" s="31">
        <f>IF(OR(A21="",B21&lt;&gt;"Triggered",G21="",H21=""),"",H21-G21)</f>
        <v/>
      </c>
      <c r="K21" s="17">
        <f>IF(A21="","",IF(B21="Not applicable","Not applicable",IF(B21="Not triggered","Not triggered",IF(B21="Unknown","Unresolved, evidence missing",IF(L21="Confidential-reviewable","Unresolved, confidential but reviewable",IF(L21="Contested","Unresolved, contested",IF(COUNTIFS('Stress Cases'!$K$4:$K$12,"Electric Ledger",'Stress Cases'!$L$4:$L$12,A21,'Stress Cases'!$I$4:$I$12,"Failed under stress")&gt;0,"Failed under linked stress case",IF(COUNTIFS('Stress Cases'!$K$4:$K$12,"Electric Ledger",'Stress Cases'!$L$4:$L$12,A21,'Stress Cases'!$I$4:$I$12,"Unresolved*")&gt;0,"Unresolved, linked stress missing",IF(OR(F21="",H21=""),"Unresolved, evidence missing",IF(AND(H21&gt;0,S21=""),"Unresolved, resource origin missing",IF(OR(ISNUMBER(SEARCH("No evidence",Q21)),ISNUMBER(SEARCH("Missing substantive",Q21)),ISNUMBER(SEARCH("Contested substantive",Q21))),"Unresolved, evidence missing",IF(AND(R21="Yes",S21&lt;&gt;"Public-welfare transfer"),"Unresolved, cross-ledger transfer missing",IF(I21&lt;0,"Failed under stress",IF(AND(J21&lt;&gt;"",J21&lt;0),"Conditional pass","Pass"))))))))))))))</f>
        <v/>
      </c>
      <c r="L21" s="32" t="str"/>
      <c r="M21" s="32" t="str"/>
      <c r="N21" s="32" t="str"/>
      <c r="O21" s="32" t="str"/>
      <c r="P21" s="32" t="str"/>
      <c r="Q21" s="17">
        <f>IF(A21="","",IF(P21="","No evidence ID",IFERROR(IF(VLOOKUP(P21,'Evidence Register'!A:M,11,FALSE)="Missing","Missing substantive evidence",IF(VLOOKUP(P21,'Evidence Register'!A:M,11,FALSE)="Contested","Contested substantive evidence",IF(VLOOKUP(P21,'Evidence Register'!A:M,10,FALSE)="Pinned","Pinned evidence",IF(VLOOKUP(P21,'Evidence Register'!A:M,10,FALSE)="Confidential-reviewable","Reviewable evidence","Pin issue: "&amp;VLOOKUP(P21,'Evidence Register'!A:M,10,FALSE))))),"Missing evidence ID")))</f>
        <v/>
      </c>
      <c r="R21" s="17">
        <f>IF(A21="","",IF(OR(H21="",H21=0),"",IF(S21="","Missing origin",IF(S21&lt;&gt;"Electric Ledger","Yes","No"))))</f>
        <v/>
      </c>
      <c r="S21" s="32" t="str"/>
      <c r="T21" s="32" t="str"/>
    </row>
    <row r="22" ht="39.59999847412109" customHeight="1">
      <c r="A22" s="28" t="inlineStr">
        <is>
          <t>Total / dashboard line</t>
        </is>
      </c>
      <c r="B22" s="28" t="str"/>
      <c r="C22" s="28" t="str"/>
      <c r="D22" s="28" t="str"/>
      <c r="E22" s="28" t="str"/>
      <c r="F22" s="34">
        <f>IF(COUNTIF(B4:B21,"Triggered")=0,"",SUM(F4:F21))</f>
        <v/>
      </c>
      <c r="G22" s="34">
        <f>IF(COUNTIF(B4:B21,"Triggered")=0,"",IF(COUNT(G4:G21)=0,"",SUM(G4:G21)))</f>
        <v/>
      </c>
      <c r="H22" s="34">
        <f>IF(COUNTIF(B4:B21,"Triggered")=0,"",SUM(H4:H21))</f>
        <v/>
      </c>
      <c r="I22" s="34">
        <f>IF(F22="","",H22-F22)</f>
        <v/>
      </c>
      <c r="J22" s="34">
        <f>IF(OR(G22="",H22=""),"",H22-G22)</f>
        <v/>
      </c>
      <c r="K22" s="30">
        <f>IF(COUNTIF(B4:B21,"Triggered")=0,"No entries yet",IF(COUNTIF(K4:K21,"*Failed*")&gt;0,"Failed under stress",IF(COUNTIF(K4:K21,"Unresolved*")&gt;0,"Unresolved",IF(COUNTIF(K4:K21,"Conditional pass")&gt;0,"Conditional pass",IF(I22&lt;0,"Failed under stress",IF(AND(J22&lt;&gt;"",J22&lt;0),"Conditional pass","Pass"))))))</f>
        <v/>
      </c>
      <c r="L22" s="28" t="str"/>
      <c r="M22" s="28" t="str"/>
      <c r="N22" s="28" t="str"/>
      <c r="O22" s="28" t="str"/>
      <c r="P22" s="28" t="str"/>
      <c r="Q22" s="30" t="str"/>
      <c r="R22" s="30">
        <f>IF(OR(COUNTIFS(B4:B21,"Triggered",R4:R21,"Yes")&gt;0,COUNTIFS(B4:B21,"Triggered",R4:R21,"Missing origin")&gt;0),"Flag: cross-ledger or origin issue",IF(OR(COUNTIFS(B4:B21,"Triggered",Q4:Q21,"Missing evidence ID")&gt;0,COUNTIFS(B4:B21,"Triggered",Q4:Q21,"Needs pin*")&gt;0,COUNTIFS(B4:B21,"Triggered",Q4:Q21,"No evidence ID")&gt;0),"Flag: evidence pin incomplete",""))</f>
        <v/>
      </c>
      <c r="S22" s="28" t="str"/>
      <c r="T22" s="28" t="str"/>
    </row>
    <row r="23" ht="15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</row>
    <row r="24" ht="15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</row>
  </sheetData>
  <sheetProtection selectLockedCells="0" selectUnlockedCells="1" sheet="1" objects="0" insertRows="0" insertHyperlinks="1" autoFilter="1" scenarios="0" formatColumns="0" deleteColumns="1" insertColumns="1" pivotTables="1" deleteRows="0" formatCells="1" formatRows="0" sort="1"/>
  <dataValidations count="5">
    <dataValidation sqref="B4:B21" showDropDown="0" showInputMessage="0" showErrorMessage="0" allowBlank="1" type="list">
      <formula1>"Triggered,Not triggered,Not applicable,Unknown"</formula1>
    </dataValidation>
    <dataValidation sqref="D4:D21" showDropDown="0" showInputMessage="0" showErrorMessage="0" allowBlank="1" type="list">
      <formula1>"Settled cash,Callable secured credit,Enforceable scoped promise,Unsecured promise,Narrative-only promise,Unaccredited performance claim,Strong / Medium / Proxy / Unknown"</formula1>
    </dataValidation>
    <dataValidation sqref="L4:L21" showDropDown="0" showInputMessage="0" showErrorMessage="0" allowBlank="1" type="list">
      <formula1>"Public,Confidential-reviewable,Proxy,Missing,Contested"</formula1>
    </dataValidation>
    <dataValidation sqref="P4:P21" showDropDown="0" showInputMessage="0" showErrorMessage="0" allowBlank="1" type="list">
      <formula1>"EV-001,EV-002,EV-003,EV-004,EV-005,EV-006,EV-007,EV-008,EV-009,EV-010,EV-011,EV-012,EV-013,EV-014,EV-015,EV-016,EV-017,EV-018,EV-019,EV-020,EV-021,EV-022,EV-023,EV-024,EV-025,EV-026,EV-027,EV-028,EV-029,EV-030,EV-031,EV-032,EV-033,EV-034,EV-035,EV-036,EV-037,EV-038,EV-039,EV-040,EV-041,EV-042,EV-043,EV-044,EV-045,EV-046,EV-047,EV-048,EV-049,EV-050,EV-051,EV-052,EV-053,EV-054,EV-055,EV-056,EV-057,EV-058,EV-059,EV-060"</formula1>
    </dataValidation>
    <dataValidation sqref="S4:S21" showDropDown="0" showInputMessage="0" showErrorMessage="0" allowBlank="1" type="list">
      <formula1>"Electric Ledger,RTO Capacity,Local Fiscal,Water Env,Credit Collateral,Distributional,Public-welfare transfer"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23.32999992370605" customWidth="1" min="1" max="1"/>
    <col width="16.67000007629395" customWidth="1" min="2" max="2"/>
    <col width="16.67000007629395" customWidth="1" min="3" max="3"/>
    <col width="16.67000007629395" customWidth="1" min="4" max="4"/>
    <col width="16.67000007629395" customWidth="1" min="5" max="5"/>
    <col width="13.32999992370605" customWidth="1" min="6" max="6"/>
    <col width="13.32999992370605" customWidth="1" min="7" max="7"/>
    <col width="13.32999992370605" customWidth="1" min="8" max="8"/>
    <col width="13.32999992370605" customWidth="1" min="9" max="9"/>
    <col width="13.32999992370605" customWidth="1" min="10" max="10"/>
    <col width="22.78000068664551" customWidth="1" min="11" max="11"/>
    <col width="22.78000068664551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50.40000152587891" customHeight="1">
      <c r="A1" s="4" t="inlineStr">
        <is>
          <t>RTO Capacity</t>
        </is>
      </c>
      <c r="B1" s="4" t="str"/>
      <c r="C1" s="4" t="str"/>
      <c r="D1" s="4" t="str"/>
      <c r="E1" s="4" t="str"/>
      <c r="F1" s="4" t="str"/>
      <c r="G1" s="4" t="str"/>
      <c r="H1" s="4" t="str"/>
      <c r="I1" s="4" t="str"/>
      <c r="J1" s="4" t="str"/>
      <c r="K1" s="4" t="str"/>
      <c r="L1" s="4" t="str"/>
      <c r="M1" s="4" t="str"/>
      <c r="N1" s="4" t="str"/>
      <c r="O1" s="4" t="str"/>
      <c r="P1" s="4" t="str"/>
      <c r="Q1" s="4" t="str"/>
      <c r="R1" s="4" t="str"/>
      <c r="S1" s="4" t="str"/>
      <c r="T1" s="4" t="str"/>
    </row>
    <row r="2" ht="15" customHeight="1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</row>
    <row r="3" ht="39.59999847412109" customHeight="1">
      <c r="A3" s="8" t="inlineStr">
        <is>
          <t>Ledger line</t>
        </is>
      </c>
      <c r="B3" s="8" t="inlineStr">
        <is>
          <t>Applicability</t>
        </is>
      </c>
      <c r="C3" s="8" t="inlineStr">
        <is>
          <t>Causation category</t>
        </is>
      </c>
      <c r="D3" s="8" t="inlineStr">
        <is>
          <t>Evidence band</t>
        </is>
      </c>
      <c r="E3" s="8" t="inlineStr">
        <is>
          <t>Unit</t>
        </is>
      </c>
      <c r="F3" s="8" t="inlineStr">
        <is>
          <t>Base exposure</t>
        </is>
      </c>
      <c r="G3" s="8" t="inlineStr">
        <is>
          <t>Stress exposure</t>
        </is>
      </c>
      <c r="H3" s="8" t="inlineStr">
        <is>
          <t>Credited resources</t>
        </is>
      </c>
      <c r="I3" s="8" t="inlineStr">
        <is>
          <t>Base gap</t>
        </is>
      </c>
      <c r="J3" s="8" t="inlineStr">
        <is>
          <t>Stress gap</t>
        </is>
      </c>
      <c r="K3" s="8" t="inlineStr">
        <is>
          <t>Status</t>
        </is>
      </c>
      <c r="L3" s="8" t="inlineStr">
        <is>
          <t>Evidence status</t>
        </is>
      </c>
      <c r="M3" s="8" t="inlineStr">
        <is>
          <t>Residual claimant</t>
        </is>
      </c>
      <c r="N3" s="8" t="inlineStr">
        <is>
          <t>Source URL / docket</t>
        </is>
      </c>
      <c r="O3" s="8" t="inlineStr">
        <is>
          <t>Page / table / order pin</t>
        </is>
      </c>
      <c r="P3" s="8" t="inlineStr">
        <is>
          <t>Evidence ID</t>
        </is>
      </c>
      <c r="Q3" s="8" t="inlineStr">
        <is>
          <t>Evidence quality check</t>
        </is>
      </c>
      <c r="R3" s="8" t="inlineStr">
        <is>
          <t>Cross-ledger check</t>
        </is>
      </c>
      <c r="S3" s="8" t="inlineStr">
        <is>
          <t>Resource ledger of origin</t>
        </is>
      </c>
      <c r="T3" s="8" t="inlineStr">
        <is>
          <t>Notes</t>
        </is>
      </c>
    </row>
    <row r="4" ht="52.79999923706055" customHeight="1">
      <c r="A4" s="15" t="inlineStr">
        <is>
          <t>Forecast inclusion</t>
        </is>
      </c>
      <c r="B4" s="32" t="inlineStr">
        <is>
          <t>Unknown</t>
        </is>
      </c>
      <c r="C4" s="32" t="inlineStr">
        <is>
          <t>Forecast-reliance</t>
        </is>
      </c>
      <c r="D4" s="32" t="str"/>
      <c r="E4" s="32" t="inlineStr">
        <is>
          <t>MW / UCAP / obligation</t>
        </is>
      </c>
      <c r="F4" s="33" t="str"/>
      <c r="G4" s="33" t="str"/>
      <c r="H4" s="33" t="str"/>
      <c r="I4" s="31">
        <f>IF(OR(A4="",B4&lt;&gt;"Triggered",F4="",H4=""),"",H4-F4)</f>
        <v/>
      </c>
      <c r="J4" s="31">
        <f>IF(OR(A4="",B4&lt;&gt;"Triggered",G4="",H4=""),"",H4-G4)</f>
        <v/>
      </c>
      <c r="K4" s="17">
        <f>IF(A4="","",IF(B4="Not applicable","Not applicable",IF(B4="Not triggered","Not triggered",IF(B4="Unknown","Unresolved, evidence missing",IF(L4="Confidential-reviewable","Unresolved, confidential but reviewable",IF(L4="Contested","Unresolved, contested",IF(COUNTIFS('Stress Cases'!$K$4:$K$12,"RTO Capacity",'Stress Cases'!$L$4:$L$12,A4,'Stress Cases'!$I$4:$I$12,"Failed under stress")&gt;0,"Failed under linked stress case",IF(COUNTIFS('Stress Cases'!$K$4:$K$12,"RTO Capacity",'Stress Cases'!$L$4:$L$12,A4,'Stress Cases'!$I$4:$I$12,"Unresolved*")&gt;0,"Unresolved, linked stress missing",IF(OR(F4="",H4=""),"Unresolved, evidence missing",IF(AND(H4&gt;0,S4=""),"Unresolved, resource origin missing",IF(OR(ISNUMBER(SEARCH("No evidence",Q4)),ISNUMBER(SEARCH("Missing substantive",Q4)),ISNUMBER(SEARCH("Contested substantive",Q4))),"Unresolved, evidence missing",IF(AND(R4="Yes",S4&lt;&gt;"Public-welfare transfer"),"Unresolved, cross-ledger transfer missing",IF(I4&lt;0,"Failed under stress",IF(AND(J4&lt;&gt;"",J4&lt;0),"Conditional pass","Pass"))))))))))))))</f>
        <v/>
      </c>
      <c r="L4" s="32" t="inlineStr">
        <is>
          <t>Missing</t>
        </is>
      </c>
      <c r="M4" s="32" t="str"/>
      <c r="N4" s="32" t="str"/>
      <c r="O4" s="32" t="str"/>
      <c r="P4" s="32" t="str"/>
      <c r="Q4" s="17">
        <f>IF(A4="","",IF(P4="","No evidence ID",IFERROR(IF(VLOOKUP(P4,'Evidence Register'!A:M,11,FALSE)="Missing","Missing substantive evidence",IF(VLOOKUP(P4,'Evidence Register'!A:M,11,FALSE)="Contested","Contested substantive evidence",IF(VLOOKUP(P4,'Evidence Register'!A:M,10,FALSE)="Pinned","Pinned evidence",IF(VLOOKUP(P4,'Evidence Register'!A:M,10,FALSE)="Confidential-reviewable","Reviewable evidence","Pin issue: "&amp;VLOOKUP(P4,'Evidence Register'!A:M,10,FALSE))))),"Missing evidence ID")))</f>
        <v/>
      </c>
      <c r="R4" s="17">
        <f>IF(A4="","",IF(OR(H4="",H4=0),"",IF(S4="","Missing origin",IF(S4&lt;&gt;"RTO Capacity","Yes","No"))))</f>
        <v/>
      </c>
      <c r="S4" s="32" t="str"/>
      <c r="T4" s="32" t="str"/>
    </row>
    <row r="5" ht="52.79999923706055" customHeight="1">
      <c r="A5" s="15" t="inlineStr">
        <is>
          <t>Capacity price / obligation</t>
        </is>
      </c>
      <c r="B5" s="32" t="inlineStr">
        <is>
          <t>Unknown</t>
        </is>
      </c>
      <c r="C5" s="32" t="inlineStr">
        <is>
          <t>Pooled market</t>
        </is>
      </c>
      <c r="D5" s="32" t="str"/>
      <c r="E5" s="32" t="inlineStr">
        <is>
          <t>delivery-year $</t>
        </is>
      </c>
      <c r="F5" s="33" t="str"/>
      <c r="G5" s="33" t="str"/>
      <c r="H5" s="33" t="str"/>
      <c r="I5" s="31">
        <f>IF(OR(A5="",B5&lt;&gt;"Triggered",F5="",H5=""),"",H5-F5)</f>
        <v/>
      </c>
      <c r="J5" s="31">
        <f>IF(OR(A5="",B5&lt;&gt;"Triggered",G5="",H5=""),"",H5-G5)</f>
        <v/>
      </c>
      <c r="K5" s="17">
        <f>IF(A5="","",IF(B5="Not applicable","Not applicable",IF(B5="Not triggered","Not triggered",IF(B5="Unknown","Unresolved, evidence missing",IF(L5="Confidential-reviewable","Unresolved, confidential but reviewable",IF(L5="Contested","Unresolved, contested",IF(COUNTIFS('Stress Cases'!$K$4:$K$12,"RTO Capacity",'Stress Cases'!$L$4:$L$12,A5,'Stress Cases'!$I$4:$I$12,"Failed under stress")&gt;0,"Failed under linked stress case",IF(COUNTIFS('Stress Cases'!$K$4:$K$12,"RTO Capacity",'Stress Cases'!$L$4:$L$12,A5,'Stress Cases'!$I$4:$I$12,"Unresolved*")&gt;0,"Unresolved, linked stress missing",IF(OR(F5="",H5=""),"Unresolved, evidence missing",IF(AND(H5&gt;0,S5=""),"Unresolved, resource origin missing",IF(OR(ISNUMBER(SEARCH("No evidence",Q5)),ISNUMBER(SEARCH("Missing substantive",Q5)),ISNUMBER(SEARCH("Contested substantive",Q5))),"Unresolved, evidence missing",IF(AND(R5="Yes",S5&lt;&gt;"Public-welfare transfer"),"Unresolved, cross-ledger transfer missing",IF(I5&lt;0,"Failed under stress",IF(AND(J5&lt;&gt;"",J5&lt;0),"Conditional pass","Pass"))))))))))))))</f>
        <v/>
      </c>
      <c r="L5" s="32" t="inlineStr">
        <is>
          <t>Missing</t>
        </is>
      </c>
      <c r="M5" s="32" t="str"/>
      <c r="N5" s="32" t="str"/>
      <c r="O5" s="32" t="str"/>
      <c r="P5" s="32" t="str"/>
      <c r="Q5" s="17">
        <f>IF(A5="","",IF(P5="","No evidence ID",IFERROR(IF(VLOOKUP(P5,'Evidence Register'!A:M,11,FALSE)="Missing","Missing substantive evidence",IF(VLOOKUP(P5,'Evidence Register'!A:M,11,FALSE)="Contested","Contested substantive evidence",IF(VLOOKUP(P5,'Evidence Register'!A:M,10,FALSE)="Pinned","Pinned evidence",IF(VLOOKUP(P5,'Evidence Register'!A:M,10,FALSE)="Confidential-reviewable","Reviewable evidence","Pin issue: "&amp;VLOOKUP(P5,'Evidence Register'!A:M,10,FALSE))))),"Missing evidence ID")))</f>
        <v/>
      </c>
      <c r="R5" s="17">
        <f>IF(A5="","",IF(OR(H5="",H5=0),"",IF(S5="","Missing origin",IF(S5&lt;&gt;"RTO Capacity","Yes","No"))))</f>
        <v/>
      </c>
      <c r="S5" s="32" t="str"/>
      <c r="T5" s="32" t="str"/>
    </row>
    <row r="6" ht="52.79999923706055" customHeight="1">
      <c r="A6" s="15" t="inlineStr">
        <is>
          <t>Backstop procurement</t>
        </is>
      </c>
      <c r="B6" s="32" t="inlineStr">
        <is>
          <t>Unknown</t>
        </is>
      </c>
      <c r="C6" s="32" t="inlineStr">
        <is>
          <t>Pooled market</t>
        </is>
      </c>
      <c r="D6" s="32" t="str"/>
      <c r="E6" s="32" t="inlineStr">
        <is>
          <t>delivery-year $</t>
        </is>
      </c>
      <c r="F6" s="33" t="str"/>
      <c r="G6" s="33" t="str"/>
      <c r="H6" s="33" t="str"/>
      <c r="I6" s="31">
        <f>IF(OR(A6="",B6&lt;&gt;"Triggered",F6="",H6=""),"",H6-F6)</f>
        <v/>
      </c>
      <c r="J6" s="31">
        <f>IF(OR(A6="",B6&lt;&gt;"Triggered",G6="",H6=""),"",H6-G6)</f>
        <v/>
      </c>
      <c r="K6" s="17">
        <f>IF(A6="","",IF(B6="Not applicable","Not applicable",IF(B6="Not triggered","Not triggered",IF(B6="Unknown","Unresolved, evidence missing",IF(L6="Confidential-reviewable","Unresolved, confidential but reviewable",IF(L6="Contested","Unresolved, contested",IF(COUNTIFS('Stress Cases'!$K$4:$K$12,"RTO Capacity",'Stress Cases'!$L$4:$L$12,A6,'Stress Cases'!$I$4:$I$12,"Failed under stress")&gt;0,"Failed under linked stress case",IF(COUNTIFS('Stress Cases'!$K$4:$K$12,"RTO Capacity",'Stress Cases'!$L$4:$L$12,A6,'Stress Cases'!$I$4:$I$12,"Unresolved*")&gt;0,"Unresolved, linked stress missing",IF(OR(F6="",H6=""),"Unresolved, evidence missing",IF(AND(H6&gt;0,S6=""),"Unresolved, resource origin missing",IF(OR(ISNUMBER(SEARCH("No evidence",Q6)),ISNUMBER(SEARCH("Missing substantive",Q6)),ISNUMBER(SEARCH("Contested substantive",Q6))),"Unresolved, evidence missing",IF(AND(R6="Yes",S6&lt;&gt;"Public-welfare transfer"),"Unresolved, cross-ledger transfer missing",IF(I6&lt;0,"Failed under stress",IF(AND(J6&lt;&gt;"",J6&lt;0),"Conditional pass","Pass"))))))))))))))</f>
        <v/>
      </c>
      <c r="L6" s="32" t="inlineStr">
        <is>
          <t>Missing</t>
        </is>
      </c>
      <c r="M6" s="32" t="str"/>
      <c r="N6" s="32" t="str"/>
      <c r="O6" s="32" t="str"/>
      <c r="P6" s="32" t="str"/>
      <c r="Q6" s="17">
        <f>IF(A6="","",IF(P6="","No evidence ID",IFERROR(IF(VLOOKUP(P6,'Evidence Register'!A:M,11,FALSE)="Missing","Missing substantive evidence",IF(VLOOKUP(P6,'Evidence Register'!A:M,11,FALSE)="Contested","Contested substantive evidence",IF(VLOOKUP(P6,'Evidence Register'!A:M,10,FALSE)="Pinned","Pinned evidence",IF(VLOOKUP(P6,'Evidence Register'!A:M,10,FALSE)="Confidential-reviewable","Reviewable evidence","Pin issue: "&amp;VLOOKUP(P6,'Evidence Register'!A:M,10,FALSE))))),"Missing evidence ID")))</f>
        <v/>
      </c>
      <c r="R6" s="17">
        <f>IF(A6="","",IF(OR(H6="",H6=0),"",IF(S6="","Missing origin",IF(S6&lt;&gt;"RTO Capacity","Yes","No"))))</f>
        <v/>
      </c>
      <c r="S6" s="32" t="str"/>
      <c r="T6" s="32" t="str"/>
    </row>
    <row r="7" ht="52.79999923706055" customHeight="1">
      <c r="A7" s="15" t="inlineStr">
        <is>
          <t>Curtailment / qualifying capacity</t>
        </is>
      </c>
      <c r="B7" s="32" t="inlineStr">
        <is>
          <t>Unknown</t>
        </is>
      </c>
      <c r="C7" s="32" t="inlineStr">
        <is>
          <t>Technical performance</t>
        </is>
      </c>
      <c r="D7" s="32" t="str"/>
      <c r="E7" s="32" t="inlineStr">
        <is>
          <t>UCAP MW / $</t>
        </is>
      </c>
      <c r="F7" s="33" t="str"/>
      <c r="G7" s="33" t="str"/>
      <c r="H7" s="33" t="str"/>
      <c r="I7" s="31">
        <f>IF(OR(A7="",B7&lt;&gt;"Triggered",F7="",H7=""),"",H7-F7)</f>
        <v/>
      </c>
      <c r="J7" s="31">
        <f>IF(OR(A7="",B7&lt;&gt;"Triggered",G7="",H7=""),"",H7-G7)</f>
        <v/>
      </c>
      <c r="K7" s="17">
        <f>IF(A7="","",IF(B7="Not applicable","Not applicable",IF(B7="Not triggered","Not triggered",IF(B7="Unknown","Unresolved, evidence missing",IF(L7="Confidential-reviewable","Unresolved, confidential but reviewable",IF(L7="Contested","Unresolved, contested",IF(COUNTIFS('Stress Cases'!$K$4:$K$12,"RTO Capacity",'Stress Cases'!$L$4:$L$12,A7,'Stress Cases'!$I$4:$I$12,"Failed under stress")&gt;0,"Failed under linked stress case",IF(COUNTIFS('Stress Cases'!$K$4:$K$12,"RTO Capacity",'Stress Cases'!$L$4:$L$12,A7,'Stress Cases'!$I$4:$I$12,"Unresolved*")&gt;0,"Unresolved, linked stress missing",IF(OR(F7="",H7=""),"Unresolved, evidence missing",IF(AND(H7&gt;0,S7=""),"Unresolved, resource origin missing",IF(OR(ISNUMBER(SEARCH("No evidence",Q7)),ISNUMBER(SEARCH("Missing substantive",Q7)),ISNUMBER(SEARCH("Contested substantive",Q7))),"Unresolved, evidence missing",IF(AND(R7="Yes",S7&lt;&gt;"Public-welfare transfer"),"Unresolved, cross-ledger transfer missing",IF(I7&lt;0,"Failed under stress",IF(AND(J7&lt;&gt;"",J7&lt;0),"Conditional pass","Pass"))))))))))))))</f>
        <v/>
      </c>
      <c r="L7" s="32" t="inlineStr">
        <is>
          <t>Missing</t>
        </is>
      </c>
      <c r="M7" s="32" t="str"/>
      <c r="N7" s="32" t="str"/>
      <c r="O7" s="32" t="str"/>
      <c r="P7" s="32" t="str"/>
      <c r="Q7" s="17">
        <f>IF(A7="","",IF(P7="","No evidence ID",IFERROR(IF(VLOOKUP(P7,'Evidence Register'!A:M,11,FALSE)="Missing","Missing substantive evidence",IF(VLOOKUP(P7,'Evidence Register'!A:M,11,FALSE)="Contested","Contested substantive evidence",IF(VLOOKUP(P7,'Evidence Register'!A:M,10,FALSE)="Pinned","Pinned evidence",IF(VLOOKUP(P7,'Evidence Register'!A:M,10,FALSE)="Confidential-reviewable","Reviewable evidence","Pin issue: "&amp;VLOOKUP(P7,'Evidence Register'!A:M,10,FALSE))))),"Missing evidence ID")))</f>
        <v/>
      </c>
      <c r="R7" s="17">
        <f>IF(A7="","",IF(OR(H7="",H7=0),"",IF(S7="","Missing origin",IF(S7&lt;&gt;"RTO Capacity","Yes","No"))))</f>
        <v/>
      </c>
      <c r="S7" s="32" t="str"/>
      <c r="T7" s="32" t="str"/>
    </row>
    <row r="8" ht="52.79999923706055" customHeight="1">
      <c r="A8" s="15" t="inlineStr">
        <is>
          <t>Retail pass-through</t>
        </is>
      </c>
      <c r="B8" s="32" t="inlineStr">
        <is>
          <t>Unknown</t>
        </is>
      </c>
      <c r="C8" s="32" t="inlineStr">
        <is>
          <t>Regulatory assignment</t>
        </is>
      </c>
      <c r="D8" s="32" t="str"/>
      <c r="E8" s="32" t="inlineStr">
        <is>
          <t>class allocation / rider</t>
        </is>
      </c>
      <c r="F8" s="33" t="str"/>
      <c r="G8" s="33" t="str"/>
      <c r="H8" s="33" t="str"/>
      <c r="I8" s="31">
        <f>IF(OR(A8="",B8&lt;&gt;"Triggered",F8="",H8=""),"",H8-F8)</f>
        <v/>
      </c>
      <c r="J8" s="31">
        <f>IF(OR(A8="",B8&lt;&gt;"Triggered",G8="",H8=""),"",H8-G8)</f>
        <v/>
      </c>
      <c r="K8" s="17">
        <f>IF(A8="","",IF(B8="Not applicable","Not applicable",IF(B8="Not triggered","Not triggered",IF(B8="Unknown","Unresolved, evidence missing",IF(L8="Confidential-reviewable","Unresolved, confidential but reviewable",IF(L8="Contested","Unresolved, contested",IF(COUNTIFS('Stress Cases'!$K$4:$K$12,"RTO Capacity",'Stress Cases'!$L$4:$L$12,A8,'Stress Cases'!$I$4:$I$12,"Failed under stress")&gt;0,"Failed under linked stress case",IF(COUNTIFS('Stress Cases'!$K$4:$K$12,"RTO Capacity",'Stress Cases'!$L$4:$L$12,A8,'Stress Cases'!$I$4:$I$12,"Unresolved*")&gt;0,"Unresolved, linked stress missing",IF(OR(F8="",H8=""),"Unresolved, evidence missing",IF(AND(H8&gt;0,S8=""),"Unresolved, resource origin missing",IF(OR(ISNUMBER(SEARCH("No evidence",Q8)),ISNUMBER(SEARCH("Missing substantive",Q8)),ISNUMBER(SEARCH("Contested substantive",Q8))),"Unresolved, evidence missing",IF(AND(R8="Yes",S8&lt;&gt;"Public-welfare transfer"),"Unresolved, cross-ledger transfer missing",IF(I8&lt;0,"Failed under stress",IF(AND(J8&lt;&gt;"",J8&lt;0),"Conditional pass","Pass"))))))))))))))</f>
        <v/>
      </c>
      <c r="L8" s="32" t="inlineStr">
        <is>
          <t>Missing</t>
        </is>
      </c>
      <c r="M8" s="32" t="str"/>
      <c r="N8" s="32" t="str"/>
      <c r="O8" s="32" t="str"/>
      <c r="P8" s="32" t="str"/>
      <c r="Q8" s="17">
        <f>IF(A8="","",IF(P8="","No evidence ID",IFERROR(IF(VLOOKUP(P8,'Evidence Register'!A:M,11,FALSE)="Missing","Missing substantive evidence",IF(VLOOKUP(P8,'Evidence Register'!A:M,11,FALSE)="Contested","Contested substantive evidence",IF(VLOOKUP(P8,'Evidence Register'!A:M,10,FALSE)="Pinned","Pinned evidence",IF(VLOOKUP(P8,'Evidence Register'!A:M,10,FALSE)="Confidential-reviewable","Reviewable evidence","Pin issue: "&amp;VLOOKUP(P8,'Evidence Register'!A:M,10,FALSE))))),"Missing evidence ID")))</f>
        <v/>
      </c>
      <c r="R8" s="17">
        <f>IF(A8="","",IF(OR(H8="",H8=0),"",IF(S8="","Missing origin",IF(S8&lt;&gt;"RTO Capacity","Yes","No"))))</f>
        <v/>
      </c>
      <c r="S8" s="32" t="str"/>
      <c r="T8" s="32" t="str"/>
    </row>
    <row r="9" ht="15" customHeight="1">
      <c r="A9" s="15" t="str"/>
      <c r="B9" s="32" t="str"/>
      <c r="C9" s="32" t="str"/>
      <c r="D9" s="32" t="str"/>
      <c r="E9" s="32" t="str"/>
      <c r="F9" s="33" t="str"/>
      <c r="G9" s="33" t="str"/>
      <c r="H9" s="33" t="str"/>
      <c r="I9" s="31">
        <f>IF(OR(A9="",B9&lt;&gt;"Triggered",F9="",H9=""),"",H9-F9)</f>
        <v/>
      </c>
      <c r="J9" s="31">
        <f>IF(OR(A9="",B9&lt;&gt;"Triggered",G9="",H9=""),"",H9-G9)</f>
        <v/>
      </c>
      <c r="K9" s="17">
        <f>IF(A9="","",IF(B9="Not applicable","Not applicable",IF(B9="Not triggered","Not triggered",IF(B9="Unknown","Unresolved, evidence missing",IF(L9="Confidential-reviewable","Unresolved, confidential but reviewable",IF(L9="Contested","Unresolved, contested",IF(COUNTIFS('Stress Cases'!$K$4:$K$12,"RTO Capacity",'Stress Cases'!$L$4:$L$12,A9,'Stress Cases'!$I$4:$I$12,"Failed under stress")&gt;0,"Failed under linked stress case",IF(COUNTIFS('Stress Cases'!$K$4:$K$12,"RTO Capacity",'Stress Cases'!$L$4:$L$12,A9,'Stress Cases'!$I$4:$I$12,"Unresolved*")&gt;0,"Unresolved, linked stress missing",IF(OR(F9="",H9=""),"Unresolved, evidence missing",IF(AND(H9&gt;0,S9=""),"Unresolved, resource origin missing",IF(OR(ISNUMBER(SEARCH("No evidence",Q9)),ISNUMBER(SEARCH("Missing substantive",Q9)),ISNUMBER(SEARCH("Contested substantive",Q9))),"Unresolved, evidence missing",IF(AND(R9="Yes",S9&lt;&gt;"Public-welfare transfer"),"Unresolved, cross-ledger transfer missing",IF(I9&lt;0,"Failed under stress",IF(AND(J9&lt;&gt;"",J9&lt;0),"Conditional pass","Pass"))))))))))))))</f>
        <v/>
      </c>
      <c r="L9" s="32" t="str"/>
      <c r="M9" s="32" t="str"/>
      <c r="N9" s="32" t="str"/>
      <c r="O9" s="32" t="str"/>
      <c r="P9" s="32" t="str"/>
      <c r="Q9" s="17">
        <f>IF(A9="","",IF(P9="","No evidence ID",IFERROR(IF(VLOOKUP(P9,'Evidence Register'!A:M,11,FALSE)="Missing","Missing substantive evidence",IF(VLOOKUP(P9,'Evidence Register'!A:M,11,FALSE)="Contested","Contested substantive evidence",IF(VLOOKUP(P9,'Evidence Register'!A:M,10,FALSE)="Pinned","Pinned evidence",IF(VLOOKUP(P9,'Evidence Register'!A:M,10,FALSE)="Confidential-reviewable","Reviewable evidence","Pin issue: "&amp;VLOOKUP(P9,'Evidence Register'!A:M,10,FALSE))))),"Missing evidence ID")))</f>
        <v/>
      </c>
      <c r="R9" s="17">
        <f>IF(A9="","",IF(OR(H9="",H9=0),"",IF(S9="","Missing origin",IF(S9&lt;&gt;"RTO Capacity","Yes","No"))))</f>
        <v/>
      </c>
      <c r="S9" s="32" t="str"/>
      <c r="T9" s="32" t="str"/>
    </row>
    <row r="10" ht="15" customHeight="1">
      <c r="A10" s="15" t="str"/>
      <c r="B10" s="32" t="str"/>
      <c r="C10" s="32" t="str"/>
      <c r="D10" s="32" t="str"/>
      <c r="E10" s="32" t="str"/>
      <c r="F10" s="33" t="str"/>
      <c r="G10" s="33" t="str"/>
      <c r="H10" s="33" t="str"/>
      <c r="I10" s="31">
        <f>IF(OR(A10="",B10&lt;&gt;"Triggered",F10="",H10=""),"",H10-F10)</f>
        <v/>
      </c>
      <c r="J10" s="31">
        <f>IF(OR(A10="",B10&lt;&gt;"Triggered",G10="",H10=""),"",H10-G10)</f>
        <v/>
      </c>
      <c r="K10" s="17">
        <f>IF(A10="","",IF(B10="Not applicable","Not applicable",IF(B10="Not triggered","Not triggered",IF(B10="Unknown","Unresolved, evidence missing",IF(L10="Confidential-reviewable","Unresolved, confidential but reviewable",IF(L10="Contested","Unresolved, contested",IF(COUNTIFS('Stress Cases'!$K$4:$K$12,"RTO Capacity",'Stress Cases'!$L$4:$L$12,A10,'Stress Cases'!$I$4:$I$12,"Failed under stress")&gt;0,"Failed under linked stress case",IF(COUNTIFS('Stress Cases'!$K$4:$K$12,"RTO Capacity",'Stress Cases'!$L$4:$L$12,A10,'Stress Cases'!$I$4:$I$12,"Unresolved*")&gt;0,"Unresolved, linked stress missing",IF(OR(F10="",H10=""),"Unresolved, evidence missing",IF(AND(H10&gt;0,S10=""),"Unresolved, resource origin missing",IF(OR(ISNUMBER(SEARCH("No evidence",Q10)),ISNUMBER(SEARCH("Missing substantive",Q10)),ISNUMBER(SEARCH("Contested substantive",Q10))),"Unresolved, evidence missing",IF(AND(R10="Yes",S10&lt;&gt;"Public-welfare transfer"),"Unresolved, cross-ledger transfer missing",IF(I10&lt;0,"Failed under stress",IF(AND(J10&lt;&gt;"",J10&lt;0),"Conditional pass","Pass"))))))))))))))</f>
        <v/>
      </c>
      <c r="L10" s="32" t="str"/>
      <c r="M10" s="32" t="str"/>
      <c r="N10" s="32" t="str"/>
      <c r="O10" s="32" t="str"/>
      <c r="P10" s="32" t="str"/>
      <c r="Q10" s="17">
        <f>IF(A10="","",IF(P10="","No evidence ID",IFERROR(IF(VLOOKUP(P10,'Evidence Register'!A:M,11,FALSE)="Missing","Missing substantive evidence",IF(VLOOKUP(P10,'Evidence Register'!A:M,11,FALSE)="Contested","Contested substantive evidence",IF(VLOOKUP(P10,'Evidence Register'!A:M,10,FALSE)="Pinned","Pinned evidence",IF(VLOOKUP(P10,'Evidence Register'!A:M,10,FALSE)="Confidential-reviewable","Reviewable evidence","Pin issue: "&amp;VLOOKUP(P10,'Evidence Register'!A:M,10,FALSE))))),"Missing evidence ID")))</f>
        <v/>
      </c>
      <c r="R10" s="17">
        <f>IF(A10="","",IF(OR(H10="",H10=0),"",IF(S10="","Missing origin",IF(S10&lt;&gt;"RTO Capacity","Yes","No"))))</f>
        <v/>
      </c>
      <c r="S10" s="32" t="str"/>
      <c r="T10" s="32" t="str"/>
    </row>
    <row r="11" ht="15" customHeight="1">
      <c r="A11" s="15" t="str"/>
      <c r="B11" s="32" t="str"/>
      <c r="C11" s="32" t="str"/>
      <c r="D11" s="32" t="str"/>
      <c r="E11" s="32" t="str"/>
      <c r="F11" s="33" t="str"/>
      <c r="G11" s="33" t="str"/>
      <c r="H11" s="33" t="str"/>
      <c r="I11" s="31">
        <f>IF(OR(A11="",B11&lt;&gt;"Triggered",F11="",H11=""),"",H11-F11)</f>
        <v/>
      </c>
      <c r="J11" s="31">
        <f>IF(OR(A11="",B11&lt;&gt;"Triggered",G11="",H11=""),"",H11-G11)</f>
        <v/>
      </c>
      <c r="K11" s="17">
        <f>IF(A11="","",IF(B11="Not applicable","Not applicable",IF(B11="Not triggered","Not triggered",IF(B11="Unknown","Unresolved, evidence missing",IF(L11="Confidential-reviewable","Unresolved, confidential but reviewable",IF(L11="Contested","Unresolved, contested",IF(COUNTIFS('Stress Cases'!$K$4:$K$12,"RTO Capacity",'Stress Cases'!$L$4:$L$12,A11,'Stress Cases'!$I$4:$I$12,"Failed under stress")&gt;0,"Failed under linked stress case",IF(COUNTIFS('Stress Cases'!$K$4:$K$12,"RTO Capacity",'Stress Cases'!$L$4:$L$12,A11,'Stress Cases'!$I$4:$I$12,"Unresolved*")&gt;0,"Unresolved, linked stress missing",IF(OR(F11="",H11=""),"Unresolved, evidence missing",IF(AND(H11&gt;0,S11=""),"Unresolved, resource origin missing",IF(OR(ISNUMBER(SEARCH("No evidence",Q11)),ISNUMBER(SEARCH("Missing substantive",Q11)),ISNUMBER(SEARCH("Contested substantive",Q11))),"Unresolved, evidence missing",IF(AND(R11="Yes",S11&lt;&gt;"Public-welfare transfer"),"Unresolved, cross-ledger transfer missing",IF(I11&lt;0,"Failed under stress",IF(AND(J11&lt;&gt;"",J11&lt;0),"Conditional pass","Pass"))))))))))))))</f>
        <v/>
      </c>
      <c r="L11" s="32" t="str"/>
      <c r="M11" s="32" t="str"/>
      <c r="N11" s="32" t="str"/>
      <c r="O11" s="32" t="str"/>
      <c r="P11" s="32" t="str"/>
      <c r="Q11" s="17">
        <f>IF(A11="","",IF(P11="","No evidence ID",IFERROR(IF(VLOOKUP(P11,'Evidence Register'!A:M,11,FALSE)="Missing","Missing substantive evidence",IF(VLOOKUP(P11,'Evidence Register'!A:M,11,FALSE)="Contested","Contested substantive evidence",IF(VLOOKUP(P11,'Evidence Register'!A:M,10,FALSE)="Pinned","Pinned evidence",IF(VLOOKUP(P11,'Evidence Register'!A:M,10,FALSE)="Confidential-reviewable","Reviewable evidence","Pin issue: "&amp;VLOOKUP(P11,'Evidence Register'!A:M,10,FALSE))))),"Missing evidence ID")))</f>
        <v/>
      </c>
      <c r="R11" s="17">
        <f>IF(A11="","",IF(OR(H11="",H11=0),"",IF(S11="","Missing origin",IF(S11&lt;&gt;"RTO Capacity","Yes","No"))))</f>
        <v/>
      </c>
      <c r="S11" s="32" t="str"/>
      <c r="T11" s="32" t="str"/>
    </row>
    <row r="12" ht="15" customHeight="1">
      <c r="A12" s="15" t="str"/>
      <c r="B12" s="32" t="str"/>
      <c r="C12" s="32" t="str"/>
      <c r="D12" s="32" t="str"/>
      <c r="E12" s="32" t="str"/>
      <c r="F12" s="33" t="str"/>
      <c r="G12" s="33" t="str"/>
      <c r="H12" s="33" t="str"/>
      <c r="I12" s="31">
        <f>IF(OR(A12="",B12&lt;&gt;"Triggered",F12="",H12=""),"",H12-F12)</f>
        <v/>
      </c>
      <c r="J12" s="31">
        <f>IF(OR(A12="",B12&lt;&gt;"Triggered",G12="",H12=""),"",H12-G12)</f>
        <v/>
      </c>
      <c r="K12" s="17">
        <f>IF(A12="","",IF(B12="Not applicable","Not applicable",IF(B12="Not triggered","Not triggered",IF(B12="Unknown","Unresolved, evidence missing",IF(L12="Confidential-reviewable","Unresolved, confidential but reviewable",IF(L12="Contested","Unresolved, contested",IF(COUNTIFS('Stress Cases'!$K$4:$K$12,"RTO Capacity",'Stress Cases'!$L$4:$L$12,A12,'Stress Cases'!$I$4:$I$12,"Failed under stress")&gt;0,"Failed under linked stress case",IF(COUNTIFS('Stress Cases'!$K$4:$K$12,"RTO Capacity",'Stress Cases'!$L$4:$L$12,A12,'Stress Cases'!$I$4:$I$12,"Unresolved*")&gt;0,"Unresolved, linked stress missing",IF(OR(F12="",H12=""),"Unresolved, evidence missing",IF(AND(H12&gt;0,S12=""),"Unresolved, resource origin missing",IF(OR(ISNUMBER(SEARCH("No evidence",Q12)),ISNUMBER(SEARCH("Missing substantive",Q12)),ISNUMBER(SEARCH("Contested substantive",Q12))),"Unresolved, evidence missing",IF(AND(R12="Yes",S12&lt;&gt;"Public-welfare transfer"),"Unresolved, cross-ledger transfer missing",IF(I12&lt;0,"Failed under stress",IF(AND(J12&lt;&gt;"",J12&lt;0),"Conditional pass","Pass"))))))))))))))</f>
        <v/>
      </c>
      <c r="L12" s="32" t="str"/>
      <c r="M12" s="32" t="str"/>
      <c r="N12" s="32" t="str"/>
      <c r="O12" s="32" t="str"/>
      <c r="P12" s="32" t="str"/>
      <c r="Q12" s="17">
        <f>IF(A12="","",IF(P12="","No evidence ID",IFERROR(IF(VLOOKUP(P12,'Evidence Register'!A:M,11,FALSE)="Missing","Missing substantive evidence",IF(VLOOKUP(P12,'Evidence Register'!A:M,11,FALSE)="Contested","Contested substantive evidence",IF(VLOOKUP(P12,'Evidence Register'!A:M,10,FALSE)="Pinned","Pinned evidence",IF(VLOOKUP(P12,'Evidence Register'!A:M,10,FALSE)="Confidential-reviewable","Reviewable evidence","Pin issue: "&amp;VLOOKUP(P12,'Evidence Register'!A:M,10,FALSE))))),"Missing evidence ID")))</f>
        <v/>
      </c>
      <c r="R12" s="17">
        <f>IF(A12="","",IF(OR(H12="",H12=0),"",IF(S12="","Missing origin",IF(S12&lt;&gt;"RTO Capacity","Yes","No"))))</f>
        <v/>
      </c>
      <c r="S12" s="32" t="str"/>
      <c r="T12" s="32" t="str"/>
    </row>
    <row r="13" ht="15" customHeight="1">
      <c r="A13" s="15" t="str"/>
      <c r="B13" s="32" t="str"/>
      <c r="C13" s="32" t="str"/>
      <c r="D13" s="32" t="str"/>
      <c r="E13" s="32" t="str"/>
      <c r="F13" s="33" t="str"/>
      <c r="G13" s="33" t="str"/>
      <c r="H13" s="33" t="str"/>
      <c r="I13" s="31">
        <f>IF(OR(A13="",B13&lt;&gt;"Triggered",F13="",H13=""),"",H13-F13)</f>
        <v/>
      </c>
      <c r="J13" s="31">
        <f>IF(OR(A13="",B13&lt;&gt;"Triggered",G13="",H13=""),"",H13-G13)</f>
        <v/>
      </c>
      <c r="K13" s="17">
        <f>IF(A13="","",IF(B13="Not applicable","Not applicable",IF(B13="Not triggered","Not triggered",IF(B13="Unknown","Unresolved, evidence missing",IF(L13="Confidential-reviewable","Unresolved, confidential but reviewable",IF(L13="Contested","Unresolved, contested",IF(COUNTIFS('Stress Cases'!$K$4:$K$12,"RTO Capacity",'Stress Cases'!$L$4:$L$12,A13,'Stress Cases'!$I$4:$I$12,"Failed under stress")&gt;0,"Failed under linked stress case",IF(COUNTIFS('Stress Cases'!$K$4:$K$12,"RTO Capacity",'Stress Cases'!$L$4:$L$12,A13,'Stress Cases'!$I$4:$I$12,"Unresolved*")&gt;0,"Unresolved, linked stress missing",IF(OR(F13="",H13=""),"Unresolved, evidence missing",IF(AND(H13&gt;0,S13=""),"Unresolved, resource origin missing",IF(OR(ISNUMBER(SEARCH("No evidence",Q13)),ISNUMBER(SEARCH("Missing substantive",Q13)),ISNUMBER(SEARCH("Contested substantive",Q13))),"Unresolved, evidence missing",IF(AND(R13="Yes",S13&lt;&gt;"Public-welfare transfer"),"Unresolved, cross-ledger transfer missing",IF(I13&lt;0,"Failed under stress",IF(AND(J13&lt;&gt;"",J13&lt;0),"Conditional pass","Pass"))))))))))))))</f>
        <v/>
      </c>
      <c r="L13" s="32" t="str"/>
      <c r="M13" s="32" t="str"/>
      <c r="N13" s="32" t="str"/>
      <c r="O13" s="32" t="str"/>
      <c r="P13" s="32" t="str"/>
      <c r="Q13" s="17">
        <f>IF(A13="","",IF(P13="","No evidence ID",IFERROR(IF(VLOOKUP(P13,'Evidence Register'!A:M,11,FALSE)="Missing","Missing substantive evidence",IF(VLOOKUP(P13,'Evidence Register'!A:M,11,FALSE)="Contested","Contested substantive evidence",IF(VLOOKUP(P13,'Evidence Register'!A:M,10,FALSE)="Pinned","Pinned evidence",IF(VLOOKUP(P13,'Evidence Register'!A:M,10,FALSE)="Confidential-reviewable","Reviewable evidence","Pin issue: "&amp;VLOOKUP(P13,'Evidence Register'!A:M,10,FALSE))))),"Missing evidence ID")))</f>
        <v/>
      </c>
      <c r="R13" s="17">
        <f>IF(A13="","",IF(OR(H13="",H13=0),"",IF(S13="","Missing origin",IF(S13&lt;&gt;"RTO Capacity","Yes","No"))))</f>
        <v/>
      </c>
      <c r="S13" s="32" t="str"/>
      <c r="T13" s="32" t="str"/>
    </row>
    <row r="14" ht="15" customHeight="1">
      <c r="A14" s="15" t="str"/>
      <c r="B14" s="32" t="str"/>
      <c r="C14" s="32" t="str"/>
      <c r="D14" s="32" t="str"/>
      <c r="E14" s="32" t="str"/>
      <c r="F14" s="33" t="str"/>
      <c r="G14" s="33" t="str"/>
      <c r="H14" s="33" t="str"/>
      <c r="I14" s="31">
        <f>IF(OR(A14="",B14&lt;&gt;"Triggered",F14="",H14=""),"",H14-F14)</f>
        <v/>
      </c>
      <c r="J14" s="31">
        <f>IF(OR(A14="",B14&lt;&gt;"Triggered",G14="",H14=""),"",H14-G14)</f>
        <v/>
      </c>
      <c r="K14" s="17">
        <f>IF(A14="","",IF(B14="Not applicable","Not applicable",IF(B14="Not triggered","Not triggered",IF(B14="Unknown","Unresolved, evidence missing",IF(L14="Confidential-reviewable","Unresolved, confidential but reviewable",IF(L14="Contested","Unresolved, contested",IF(COUNTIFS('Stress Cases'!$K$4:$K$12,"RTO Capacity",'Stress Cases'!$L$4:$L$12,A14,'Stress Cases'!$I$4:$I$12,"Failed under stress")&gt;0,"Failed under linked stress case",IF(COUNTIFS('Stress Cases'!$K$4:$K$12,"RTO Capacity",'Stress Cases'!$L$4:$L$12,A14,'Stress Cases'!$I$4:$I$12,"Unresolved*")&gt;0,"Unresolved, linked stress missing",IF(OR(F14="",H14=""),"Unresolved, evidence missing",IF(AND(H14&gt;0,S14=""),"Unresolved, resource origin missing",IF(OR(ISNUMBER(SEARCH("No evidence",Q14)),ISNUMBER(SEARCH("Missing substantive",Q14)),ISNUMBER(SEARCH("Contested substantive",Q14))),"Unresolved, evidence missing",IF(AND(R14="Yes",S14&lt;&gt;"Public-welfare transfer"),"Unresolved, cross-ledger transfer missing",IF(I14&lt;0,"Failed under stress",IF(AND(J14&lt;&gt;"",J14&lt;0),"Conditional pass","Pass"))))))))))))))</f>
        <v/>
      </c>
      <c r="L14" s="32" t="str"/>
      <c r="M14" s="32" t="str"/>
      <c r="N14" s="32" t="str"/>
      <c r="O14" s="32" t="str"/>
      <c r="P14" s="32" t="str"/>
      <c r="Q14" s="17">
        <f>IF(A14="","",IF(P14="","No evidence ID",IFERROR(IF(VLOOKUP(P14,'Evidence Register'!A:M,11,FALSE)="Missing","Missing substantive evidence",IF(VLOOKUP(P14,'Evidence Register'!A:M,11,FALSE)="Contested","Contested substantive evidence",IF(VLOOKUP(P14,'Evidence Register'!A:M,10,FALSE)="Pinned","Pinned evidence",IF(VLOOKUP(P14,'Evidence Register'!A:M,10,FALSE)="Confidential-reviewable","Reviewable evidence","Pin issue: "&amp;VLOOKUP(P14,'Evidence Register'!A:M,10,FALSE))))),"Missing evidence ID")))</f>
        <v/>
      </c>
      <c r="R14" s="17">
        <f>IF(A14="","",IF(OR(H14="",H14=0),"",IF(S14="","Missing origin",IF(S14&lt;&gt;"RTO Capacity","Yes","No"))))</f>
        <v/>
      </c>
      <c r="S14" s="32" t="str"/>
      <c r="T14" s="32" t="str"/>
    </row>
    <row r="15" ht="15" customHeight="1">
      <c r="A15" s="15" t="str"/>
      <c r="B15" s="32" t="str"/>
      <c r="C15" s="32" t="str"/>
      <c r="D15" s="32" t="str"/>
      <c r="E15" s="32" t="str"/>
      <c r="F15" s="33" t="str"/>
      <c r="G15" s="33" t="str"/>
      <c r="H15" s="33" t="str"/>
      <c r="I15" s="31">
        <f>IF(OR(A15="",B15&lt;&gt;"Triggered",F15="",H15=""),"",H15-F15)</f>
        <v/>
      </c>
      <c r="J15" s="31">
        <f>IF(OR(A15="",B15&lt;&gt;"Triggered",G15="",H15=""),"",H15-G15)</f>
        <v/>
      </c>
      <c r="K15" s="17">
        <f>IF(A15="","",IF(B15="Not applicable","Not applicable",IF(B15="Not triggered","Not triggered",IF(B15="Unknown","Unresolved, evidence missing",IF(L15="Confidential-reviewable","Unresolved, confidential but reviewable",IF(L15="Contested","Unresolved, contested",IF(COUNTIFS('Stress Cases'!$K$4:$K$12,"RTO Capacity",'Stress Cases'!$L$4:$L$12,A15,'Stress Cases'!$I$4:$I$12,"Failed under stress")&gt;0,"Failed under linked stress case",IF(COUNTIFS('Stress Cases'!$K$4:$K$12,"RTO Capacity",'Stress Cases'!$L$4:$L$12,A15,'Stress Cases'!$I$4:$I$12,"Unresolved*")&gt;0,"Unresolved, linked stress missing",IF(OR(F15="",H15=""),"Unresolved, evidence missing",IF(AND(H15&gt;0,S15=""),"Unresolved, resource origin missing",IF(OR(ISNUMBER(SEARCH("No evidence",Q15)),ISNUMBER(SEARCH("Missing substantive",Q15)),ISNUMBER(SEARCH("Contested substantive",Q15))),"Unresolved, evidence missing",IF(AND(R15="Yes",S15&lt;&gt;"Public-welfare transfer"),"Unresolved, cross-ledger transfer missing",IF(I15&lt;0,"Failed under stress",IF(AND(J15&lt;&gt;"",J15&lt;0),"Conditional pass","Pass"))))))))))))))</f>
        <v/>
      </c>
      <c r="L15" s="32" t="str"/>
      <c r="M15" s="32" t="str"/>
      <c r="N15" s="32" t="str"/>
      <c r="O15" s="32" t="str"/>
      <c r="P15" s="32" t="str"/>
      <c r="Q15" s="17">
        <f>IF(A15="","",IF(P15="","No evidence ID",IFERROR(IF(VLOOKUP(P15,'Evidence Register'!A:M,11,FALSE)="Missing","Missing substantive evidence",IF(VLOOKUP(P15,'Evidence Register'!A:M,11,FALSE)="Contested","Contested substantive evidence",IF(VLOOKUP(P15,'Evidence Register'!A:M,10,FALSE)="Pinned","Pinned evidence",IF(VLOOKUP(P15,'Evidence Register'!A:M,10,FALSE)="Confidential-reviewable","Reviewable evidence","Pin issue: "&amp;VLOOKUP(P15,'Evidence Register'!A:M,10,FALSE))))),"Missing evidence ID")))</f>
        <v/>
      </c>
      <c r="R15" s="17">
        <f>IF(A15="","",IF(OR(H15="",H15=0),"",IF(S15="","Missing origin",IF(S15&lt;&gt;"RTO Capacity","Yes","No"))))</f>
        <v/>
      </c>
      <c r="S15" s="32" t="str"/>
      <c r="T15" s="32" t="str"/>
    </row>
    <row r="16" ht="15" customHeight="1">
      <c r="A16" s="15" t="str"/>
      <c r="B16" s="32" t="str"/>
      <c r="C16" s="32" t="str"/>
      <c r="D16" s="32" t="str"/>
      <c r="E16" s="32" t="str"/>
      <c r="F16" s="33" t="str"/>
      <c r="G16" s="33" t="str"/>
      <c r="H16" s="33" t="str"/>
      <c r="I16" s="31">
        <f>IF(OR(A16="",B16&lt;&gt;"Triggered",F16="",H16=""),"",H16-F16)</f>
        <v/>
      </c>
      <c r="J16" s="31">
        <f>IF(OR(A16="",B16&lt;&gt;"Triggered",G16="",H16=""),"",H16-G16)</f>
        <v/>
      </c>
      <c r="K16" s="17">
        <f>IF(A16="","",IF(B16="Not applicable","Not applicable",IF(B16="Not triggered","Not triggered",IF(B16="Unknown","Unresolved, evidence missing",IF(L16="Confidential-reviewable","Unresolved, confidential but reviewable",IF(L16="Contested","Unresolved, contested",IF(COUNTIFS('Stress Cases'!$K$4:$K$12,"RTO Capacity",'Stress Cases'!$L$4:$L$12,A16,'Stress Cases'!$I$4:$I$12,"Failed under stress")&gt;0,"Failed under linked stress case",IF(COUNTIFS('Stress Cases'!$K$4:$K$12,"RTO Capacity",'Stress Cases'!$L$4:$L$12,A16,'Stress Cases'!$I$4:$I$12,"Unresolved*")&gt;0,"Unresolved, linked stress missing",IF(OR(F16="",H16=""),"Unresolved, evidence missing",IF(AND(H16&gt;0,S16=""),"Unresolved, resource origin missing",IF(OR(ISNUMBER(SEARCH("No evidence",Q16)),ISNUMBER(SEARCH("Missing substantive",Q16)),ISNUMBER(SEARCH("Contested substantive",Q16))),"Unresolved, evidence missing",IF(AND(R16="Yes",S16&lt;&gt;"Public-welfare transfer"),"Unresolved, cross-ledger transfer missing",IF(I16&lt;0,"Failed under stress",IF(AND(J16&lt;&gt;"",J16&lt;0),"Conditional pass","Pass"))))))))))))))</f>
        <v/>
      </c>
      <c r="L16" s="32" t="str"/>
      <c r="M16" s="32" t="str"/>
      <c r="N16" s="32" t="str"/>
      <c r="O16" s="32" t="str"/>
      <c r="P16" s="32" t="str"/>
      <c r="Q16" s="17">
        <f>IF(A16="","",IF(P16="","No evidence ID",IFERROR(IF(VLOOKUP(P16,'Evidence Register'!A:M,11,FALSE)="Missing","Missing substantive evidence",IF(VLOOKUP(P16,'Evidence Register'!A:M,11,FALSE)="Contested","Contested substantive evidence",IF(VLOOKUP(P16,'Evidence Register'!A:M,10,FALSE)="Pinned","Pinned evidence",IF(VLOOKUP(P16,'Evidence Register'!A:M,10,FALSE)="Confidential-reviewable","Reviewable evidence","Pin issue: "&amp;VLOOKUP(P16,'Evidence Register'!A:M,10,FALSE))))),"Missing evidence ID")))</f>
        <v/>
      </c>
      <c r="R16" s="17">
        <f>IF(A16="","",IF(OR(H16="",H16=0),"",IF(S16="","Missing origin",IF(S16&lt;&gt;"RTO Capacity","Yes","No"))))</f>
        <v/>
      </c>
      <c r="S16" s="32" t="str"/>
      <c r="T16" s="32" t="str"/>
    </row>
    <row r="17" ht="15" customHeight="1">
      <c r="A17" s="15" t="str"/>
      <c r="B17" s="32" t="str"/>
      <c r="C17" s="32" t="str"/>
      <c r="D17" s="32" t="str"/>
      <c r="E17" s="32" t="str"/>
      <c r="F17" s="33" t="str"/>
      <c r="G17" s="33" t="str"/>
      <c r="H17" s="33" t="str"/>
      <c r="I17" s="31">
        <f>IF(OR(A17="",B17&lt;&gt;"Triggered",F17="",H17=""),"",H17-F17)</f>
        <v/>
      </c>
      <c r="J17" s="31">
        <f>IF(OR(A17="",B17&lt;&gt;"Triggered",G17="",H17=""),"",H17-G17)</f>
        <v/>
      </c>
      <c r="K17" s="17">
        <f>IF(A17="","",IF(B17="Not applicable","Not applicable",IF(B17="Not triggered","Not triggered",IF(B17="Unknown","Unresolved, evidence missing",IF(L17="Confidential-reviewable","Unresolved, confidential but reviewable",IF(L17="Contested","Unresolved, contested",IF(COUNTIFS('Stress Cases'!$K$4:$K$12,"RTO Capacity",'Stress Cases'!$L$4:$L$12,A17,'Stress Cases'!$I$4:$I$12,"Failed under stress")&gt;0,"Failed under linked stress case",IF(COUNTIFS('Stress Cases'!$K$4:$K$12,"RTO Capacity",'Stress Cases'!$L$4:$L$12,A17,'Stress Cases'!$I$4:$I$12,"Unresolved*")&gt;0,"Unresolved, linked stress missing",IF(OR(F17="",H17=""),"Unresolved, evidence missing",IF(AND(H17&gt;0,S17=""),"Unresolved, resource origin missing",IF(OR(ISNUMBER(SEARCH("No evidence",Q17)),ISNUMBER(SEARCH("Missing substantive",Q17)),ISNUMBER(SEARCH("Contested substantive",Q17))),"Unresolved, evidence missing",IF(AND(R17="Yes",S17&lt;&gt;"Public-welfare transfer"),"Unresolved, cross-ledger transfer missing",IF(I17&lt;0,"Failed under stress",IF(AND(J17&lt;&gt;"",J17&lt;0),"Conditional pass","Pass"))))))))))))))</f>
        <v/>
      </c>
      <c r="L17" s="32" t="str"/>
      <c r="M17" s="32" t="str"/>
      <c r="N17" s="32" t="str"/>
      <c r="O17" s="32" t="str"/>
      <c r="P17" s="32" t="str"/>
      <c r="Q17" s="17">
        <f>IF(A17="","",IF(P17="","No evidence ID",IFERROR(IF(VLOOKUP(P17,'Evidence Register'!A:M,11,FALSE)="Missing","Missing substantive evidence",IF(VLOOKUP(P17,'Evidence Register'!A:M,11,FALSE)="Contested","Contested substantive evidence",IF(VLOOKUP(P17,'Evidence Register'!A:M,10,FALSE)="Pinned","Pinned evidence",IF(VLOOKUP(P17,'Evidence Register'!A:M,10,FALSE)="Confidential-reviewable","Reviewable evidence","Pin issue: "&amp;VLOOKUP(P17,'Evidence Register'!A:M,10,FALSE))))),"Missing evidence ID")))</f>
        <v/>
      </c>
      <c r="R17" s="17">
        <f>IF(A17="","",IF(OR(H17="",H17=0),"",IF(S17="","Missing origin",IF(S17&lt;&gt;"RTO Capacity","Yes","No"))))</f>
        <v/>
      </c>
      <c r="S17" s="32" t="str"/>
      <c r="T17" s="32" t="str"/>
    </row>
    <row r="18" ht="15" customHeight="1">
      <c r="A18" s="15" t="str"/>
      <c r="B18" s="32" t="str"/>
      <c r="C18" s="32" t="str"/>
      <c r="D18" s="32" t="str"/>
      <c r="E18" s="32" t="str"/>
      <c r="F18" s="33" t="str"/>
      <c r="G18" s="33" t="str"/>
      <c r="H18" s="33" t="str"/>
      <c r="I18" s="31">
        <f>IF(OR(A18="",B18&lt;&gt;"Triggered",F18="",H18=""),"",H18-F18)</f>
        <v/>
      </c>
      <c r="J18" s="31">
        <f>IF(OR(A18="",B18&lt;&gt;"Triggered",G18="",H18=""),"",H18-G18)</f>
        <v/>
      </c>
      <c r="K18" s="17">
        <f>IF(A18="","",IF(B18="Not applicable","Not applicable",IF(B18="Not triggered","Not triggered",IF(B18="Unknown","Unresolved, evidence missing",IF(L18="Confidential-reviewable","Unresolved, confidential but reviewable",IF(L18="Contested","Unresolved, contested",IF(COUNTIFS('Stress Cases'!$K$4:$K$12,"RTO Capacity",'Stress Cases'!$L$4:$L$12,A18,'Stress Cases'!$I$4:$I$12,"Failed under stress")&gt;0,"Failed under linked stress case",IF(COUNTIFS('Stress Cases'!$K$4:$K$12,"RTO Capacity",'Stress Cases'!$L$4:$L$12,A18,'Stress Cases'!$I$4:$I$12,"Unresolved*")&gt;0,"Unresolved, linked stress missing",IF(OR(F18="",H18=""),"Unresolved, evidence missing",IF(AND(H18&gt;0,S18=""),"Unresolved, resource origin missing",IF(OR(ISNUMBER(SEARCH("No evidence",Q18)),ISNUMBER(SEARCH("Missing substantive",Q18)),ISNUMBER(SEARCH("Contested substantive",Q18))),"Unresolved, evidence missing",IF(AND(R18="Yes",S18&lt;&gt;"Public-welfare transfer"),"Unresolved, cross-ledger transfer missing",IF(I18&lt;0,"Failed under stress",IF(AND(J18&lt;&gt;"",J18&lt;0),"Conditional pass","Pass"))))))))))))))</f>
        <v/>
      </c>
      <c r="L18" s="32" t="str"/>
      <c r="M18" s="32" t="str"/>
      <c r="N18" s="32" t="str"/>
      <c r="O18" s="32" t="str"/>
      <c r="P18" s="32" t="str"/>
      <c r="Q18" s="17">
        <f>IF(A18="","",IF(P18="","No evidence ID",IFERROR(IF(VLOOKUP(P18,'Evidence Register'!A:M,11,FALSE)="Missing","Missing substantive evidence",IF(VLOOKUP(P18,'Evidence Register'!A:M,11,FALSE)="Contested","Contested substantive evidence",IF(VLOOKUP(P18,'Evidence Register'!A:M,10,FALSE)="Pinned","Pinned evidence",IF(VLOOKUP(P18,'Evidence Register'!A:M,10,FALSE)="Confidential-reviewable","Reviewable evidence","Pin issue: "&amp;VLOOKUP(P18,'Evidence Register'!A:M,10,FALSE))))),"Missing evidence ID")))</f>
        <v/>
      </c>
      <c r="R18" s="17">
        <f>IF(A18="","",IF(OR(H18="",H18=0),"",IF(S18="","Missing origin",IF(S18&lt;&gt;"RTO Capacity","Yes","No"))))</f>
        <v/>
      </c>
      <c r="S18" s="32" t="str"/>
      <c r="T18" s="32" t="str"/>
    </row>
    <row r="19" ht="15" customHeight="1">
      <c r="A19" s="15" t="str"/>
      <c r="B19" s="32" t="str"/>
      <c r="C19" s="32" t="str"/>
      <c r="D19" s="32" t="str"/>
      <c r="E19" s="32" t="str"/>
      <c r="F19" s="33" t="str"/>
      <c r="G19" s="33" t="str"/>
      <c r="H19" s="33" t="str"/>
      <c r="I19" s="31">
        <f>IF(OR(A19="",B19&lt;&gt;"Triggered",F19="",H19=""),"",H19-F19)</f>
        <v/>
      </c>
      <c r="J19" s="31">
        <f>IF(OR(A19="",B19&lt;&gt;"Triggered",G19="",H19=""),"",H19-G19)</f>
        <v/>
      </c>
      <c r="K19" s="17">
        <f>IF(A19="","",IF(B19="Not applicable","Not applicable",IF(B19="Not triggered","Not triggered",IF(B19="Unknown","Unresolved, evidence missing",IF(L19="Confidential-reviewable","Unresolved, confidential but reviewable",IF(L19="Contested","Unresolved, contested",IF(COUNTIFS('Stress Cases'!$K$4:$K$12,"RTO Capacity",'Stress Cases'!$L$4:$L$12,A19,'Stress Cases'!$I$4:$I$12,"Failed under stress")&gt;0,"Failed under linked stress case",IF(COUNTIFS('Stress Cases'!$K$4:$K$12,"RTO Capacity",'Stress Cases'!$L$4:$L$12,A19,'Stress Cases'!$I$4:$I$12,"Unresolved*")&gt;0,"Unresolved, linked stress missing",IF(OR(F19="",H19=""),"Unresolved, evidence missing",IF(AND(H19&gt;0,S19=""),"Unresolved, resource origin missing",IF(OR(ISNUMBER(SEARCH("No evidence",Q19)),ISNUMBER(SEARCH("Missing substantive",Q19)),ISNUMBER(SEARCH("Contested substantive",Q19))),"Unresolved, evidence missing",IF(AND(R19="Yes",S19&lt;&gt;"Public-welfare transfer"),"Unresolved, cross-ledger transfer missing",IF(I19&lt;0,"Failed under stress",IF(AND(J19&lt;&gt;"",J19&lt;0),"Conditional pass","Pass"))))))))))))))</f>
        <v/>
      </c>
      <c r="L19" s="32" t="str"/>
      <c r="M19" s="32" t="str"/>
      <c r="N19" s="32" t="str"/>
      <c r="O19" s="32" t="str"/>
      <c r="P19" s="32" t="str"/>
      <c r="Q19" s="17">
        <f>IF(A19="","",IF(P19="","No evidence ID",IFERROR(IF(VLOOKUP(P19,'Evidence Register'!A:M,11,FALSE)="Missing","Missing substantive evidence",IF(VLOOKUP(P19,'Evidence Register'!A:M,11,FALSE)="Contested","Contested substantive evidence",IF(VLOOKUP(P19,'Evidence Register'!A:M,10,FALSE)="Pinned","Pinned evidence",IF(VLOOKUP(P19,'Evidence Register'!A:M,10,FALSE)="Confidential-reviewable","Reviewable evidence","Pin issue: "&amp;VLOOKUP(P19,'Evidence Register'!A:M,10,FALSE))))),"Missing evidence ID")))</f>
        <v/>
      </c>
      <c r="R19" s="17">
        <f>IF(A19="","",IF(OR(H19="",H19=0),"",IF(S19="","Missing origin",IF(S19&lt;&gt;"RTO Capacity","Yes","No"))))</f>
        <v/>
      </c>
      <c r="S19" s="32" t="str"/>
      <c r="T19" s="32" t="str"/>
    </row>
    <row r="20" ht="15" customHeight="1">
      <c r="A20" s="15" t="str"/>
      <c r="B20" s="32" t="str"/>
      <c r="C20" s="32" t="str"/>
      <c r="D20" s="32" t="str"/>
      <c r="E20" s="32" t="str"/>
      <c r="F20" s="33" t="str"/>
      <c r="G20" s="33" t="str"/>
      <c r="H20" s="33" t="str"/>
      <c r="I20" s="31">
        <f>IF(OR(A20="",B20&lt;&gt;"Triggered",F20="",H20=""),"",H20-F20)</f>
        <v/>
      </c>
      <c r="J20" s="31">
        <f>IF(OR(A20="",B20&lt;&gt;"Triggered",G20="",H20=""),"",H20-G20)</f>
        <v/>
      </c>
      <c r="K20" s="17">
        <f>IF(A20="","",IF(B20="Not applicable","Not applicable",IF(B20="Not triggered","Not triggered",IF(B20="Unknown","Unresolved, evidence missing",IF(L20="Confidential-reviewable","Unresolved, confidential but reviewable",IF(L20="Contested","Unresolved, contested",IF(COUNTIFS('Stress Cases'!$K$4:$K$12,"RTO Capacity",'Stress Cases'!$L$4:$L$12,A20,'Stress Cases'!$I$4:$I$12,"Failed under stress")&gt;0,"Failed under linked stress case",IF(COUNTIFS('Stress Cases'!$K$4:$K$12,"RTO Capacity",'Stress Cases'!$L$4:$L$12,A20,'Stress Cases'!$I$4:$I$12,"Unresolved*")&gt;0,"Unresolved, linked stress missing",IF(OR(F20="",H20=""),"Unresolved, evidence missing",IF(AND(H20&gt;0,S20=""),"Unresolved, resource origin missing",IF(OR(ISNUMBER(SEARCH("No evidence",Q20)),ISNUMBER(SEARCH("Missing substantive",Q20)),ISNUMBER(SEARCH("Contested substantive",Q20))),"Unresolved, evidence missing",IF(AND(R20="Yes",S20&lt;&gt;"Public-welfare transfer"),"Unresolved, cross-ledger transfer missing",IF(I20&lt;0,"Failed under stress",IF(AND(J20&lt;&gt;"",J20&lt;0),"Conditional pass","Pass"))))))))))))))</f>
        <v/>
      </c>
      <c r="L20" s="32" t="str"/>
      <c r="M20" s="32" t="str"/>
      <c r="N20" s="32" t="str"/>
      <c r="O20" s="32" t="str"/>
      <c r="P20" s="32" t="str"/>
      <c r="Q20" s="17">
        <f>IF(A20="","",IF(P20="","No evidence ID",IFERROR(IF(VLOOKUP(P20,'Evidence Register'!A:M,11,FALSE)="Missing","Missing substantive evidence",IF(VLOOKUP(P20,'Evidence Register'!A:M,11,FALSE)="Contested","Contested substantive evidence",IF(VLOOKUP(P20,'Evidence Register'!A:M,10,FALSE)="Pinned","Pinned evidence",IF(VLOOKUP(P20,'Evidence Register'!A:M,10,FALSE)="Confidential-reviewable","Reviewable evidence","Pin issue: "&amp;VLOOKUP(P20,'Evidence Register'!A:M,10,FALSE))))),"Missing evidence ID")))</f>
        <v/>
      </c>
      <c r="R20" s="17">
        <f>IF(A20="","",IF(OR(H20="",H20=0),"",IF(S20="","Missing origin",IF(S20&lt;&gt;"RTO Capacity","Yes","No"))))</f>
        <v/>
      </c>
      <c r="S20" s="32" t="str"/>
      <c r="T20" s="32" t="str"/>
    </row>
    <row r="21" ht="15" customHeight="1">
      <c r="A21" s="15" t="str"/>
      <c r="B21" s="32" t="str"/>
      <c r="C21" s="32" t="str"/>
      <c r="D21" s="32" t="str"/>
      <c r="E21" s="32" t="str"/>
      <c r="F21" s="33" t="str"/>
      <c r="G21" s="33" t="str"/>
      <c r="H21" s="33" t="str"/>
      <c r="I21" s="31">
        <f>IF(OR(A21="",B21&lt;&gt;"Triggered",F21="",H21=""),"",H21-F21)</f>
        <v/>
      </c>
      <c r="J21" s="31">
        <f>IF(OR(A21="",B21&lt;&gt;"Triggered",G21="",H21=""),"",H21-G21)</f>
        <v/>
      </c>
      <c r="K21" s="17">
        <f>IF(A21="","",IF(B21="Not applicable","Not applicable",IF(B21="Not triggered","Not triggered",IF(B21="Unknown","Unresolved, evidence missing",IF(L21="Confidential-reviewable","Unresolved, confidential but reviewable",IF(L21="Contested","Unresolved, contested",IF(COUNTIFS('Stress Cases'!$K$4:$K$12,"RTO Capacity",'Stress Cases'!$L$4:$L$12,A21,'Stress Cases'!$I$4:$I$12,"Failed under stress")&gt;0,"Failed under linked stress case",IF(COUNTIFS('Stress Cases'!$K$4:$K$12,"RTO Capacity",'Stress Cases'!$L$4:$L$12,A21,'Stress Cases'!$I$4:$I$12,"Unresolved*")&gt;0,"Unresolved, linked stress missing",IF(OR(F21="",H21=""),"Unresolved, evidence missing",IF(AND(H21&gt;0,S21=""),"Unresolved, resource origin missing",IF(OR(ISNUMBER(SEARCH("No evidence",Q21)),ISNUMBER(SEARCH("Missing substantive",Q21)),ISNUMBER(SEARCH("Contested substantive",Q21))),"Unresolved, evidence missing",IF(AND(R21="Yes",S21&lt;&gt;"Public-welfare transfer"),"Unresolved, cross-ledger transfer missing",IF(I21&lt;0,"Failed under stress",IF(AND(J21&lt;&gt;"",J21&lt;0),"Conditional pass","Pass"))))))))))))))</f>
        <v/>
      </c>
      <c r="L21" s="32" t="str"/>
      <c r="M21" s="32" t="str"/>
      <c r="N21" s="32" t="str"/>
      <c r="O21" s="32" t="str"/>
      <c r="P21" s="32" t="str"/>
      <c r="Q21" s="17">
        <f>IF(A21="","",IF(P21="","No evidence ID",IFERROR(IF(VLOOKUP(P21,'Evidence Register'!A:M,11,FALSE)="Missing","Missing substantive evidence",IF(VLOOKUP(P21,'Evidence Register'!A:M,11,FALSE)="Contested","Contested substantive evidence",IF(VLOOKUP(P21,'Evidence Register'!A:M,10,FALSE)="Pinned","Pinned evidence",IF(VLOOKUP(P21,'Evidence Register'!A:M,10,FALSE)="Confidential-reviewable","Reviewable evidence","Pin issue: "&amp;VLOOKUP(P21,'Evidence Register'!A:M,10,FALSE))))),"Missing evidence ID")))</f>
        <v/>
      </c>
      <c r="R21" s="17">
        <f>IF(A21="","",IF(OR(H21="",H21=0),"",IF(S21="","Missing origin",IF(S21&lt;&gt;"RTO Capacity","Yes","No"))))</f>
        <v/>
      </c>
      <c r="S21" s="32" t="str"/>
      <c r="T21" s="32" t="str"/>
    </row>
    <row r="22" ht="39.59999847412109" customHeight="1">
      <c r="A22" s="28" t="inlineStr">
        <is>
          <t>Total / dashboard line</t>
        </is>
      </c>
      <c r="B22" s="28" t="str"/>
      <c r="C22" s="28" t="str"/>
      <c r="D22" s="28" t="str"/>
      <c r="E22" s="28" t="str"/>
      <c r="F22" s="34">
        <f>IF(COUNTIF(B4:B21,"Triggered")=0,"",SUM(F4:F21))</f>
        <v/>
      </c>
      <c r="G22" s="34">
        <f>IF(COUNTIF(B4:B21,"Triggered")=0,"",IF(COUNT(G4:G21)=0,"",SUM(G4:G21)))</f>
        <v/>
      </c>
      <c r="H22" s="34">
        <f>IF(COUNTIF(B4:B21,"Triggered")=0,"",SUM(H4:H21))</f>
        <v/>
      </c>
      <c r="I22" s="34">
        <f>IF(F22="","",H22-F22)</f>
        <v/>
      </c>
      <c r="J22" s="34">
        <f>IF(OR(G22="",H22=""),"",H22-G22)</f>
        <v/>
      </c>
      <c r="K22" s="30">
        <f>IF(COUNTIF(B4:B21,"Triggered")=0,"No entries yet",IF(COUNTIF(K4:K21,"*Failed*")&gt;0,"Failed under stress",IF(COUNTIF(K4:K21,"Unresolved*")&gt;0,"Unresolved",IF(COUNTIF(K4:K21,"Conditional pass")&gt;0,"Conditional pass",IF(I22&lt;0,"Failed under stress",IF(AND(J22&lt;&gt;"",J22&lt;0),"Conditional pass","Pass"))))))</f>
        <v/>
      </c>
      <c r="L22" s="28" t="str"/>
      <c r="M22" s="28" t="str"/>
      <c r="N22" s="28" t="str"/>
      <c r="O22" s="28" t="str"/>
      <c r="P22" s="28" t="str"/>
      <c r="Q22" s="30" t="str"/>
      <c r="R22" s="30">
        <f>IF(OR(COUNTIFS(B4:B21,"Triggered",R4:R21,"Yes")&gt;0,COUNTIFS(B4:B21,"Triggered",R4:R21,"Missing origin")&gt;0),"Flag: cross-ledger or origin issue",IF(OR(COUNTIFS(B4:B21,"Triggered",Q4:Q21,"Missing evidence ID")&gt;0,COUNTIFS(B4:B21,"Triggered",Q4:Q21,"Needs pin*")&gt;0,COUNTIFS(B4:B21,"Triggered",Q4:Q21,"No evidence ID")&gt;0),"Flag: evidence pin incomplete",""))</f>
        <v/>
      </c>
      <c r="S22" s="28" t="str"/>
      <c r="T22" s="28" t="str"/>
    </row>
    <row r="23" ht="15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</row>
    <row r="24" ht="15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</row>
  </sheetData>
  <sheetProtection selectLockedCells="0" selectUnlockedCells="1" sheet="1" objects="0" insertRows="0" insertHyperlinks="1" autoFilter="1" scenarios="0" formatColumns="0" deleteColumns="1" insertColumns="1" pivotTables="1" deleteRows="0" formatCells="1" formatRows="0" sort="1"/>
  <dataValidations count="5">
    <dataValidation sqref="B4:B21" showDropDown="0" showInputMessage="0" showErrorMessage="0" allowBlank="1" type="list">
      <formula1>"Triggered,Not triggered,Not applicable,Unknown"</formula1>
    </dataValidation>
    <dataValidation sqref="D4:D21" showDropDown="0" showInputMessage="0" showErrorMessage="0" allowBlank="1" type="list">
      <formula1>"Settled cash,Callable secured credit,Enforceable scoped promise,Unsecured promise,Narrative-only promise,Unaccredited performance claim,Strong / Medium / Proxy / Unknown"</formula1>
    </dataValidation>
    <dataValidation sqref="L4:L21" showDropDown="0" showInputMessage="0" showErrorMessage="0" allowBlank="1" type="list">
      <formula1>"Public,Confidential-reviewable,Proxy,Missing,Contested"</formula1>
    </dataValidation>
    <dataValidation sqref="P4:P21" showDropDown="0" showInputMessage="0" showErrorMessage="0" allowBlank="1" type="list">
      <formula1>"EV-001,EV-002,EV-003,EV-004,EV-005,EV-006,EV-007,EV-008,EV-009,EV-010,EV-011,EV-012,EV-013,EV-014,EV-015,EV-016,EV-017,EV-018,EV-019,EV-020,EV-021,EV-022,EV-023,EV-024,EV-025,EV-026,EV-027,EV-028,EV-029,EV-030,EV-031,EV-032,EV-033,EV-034,EV-035,EV-036,EV-037,EV-038,EV-039,EV-040,EV-041,EV-042,EV-043,EV-044,EV-045,EV-046,EV-047,EV-048,EV-049,EV-050,EV-051,EV-052,EV-053,EV-054,EV-055,EV-056,EV-057,EV-058,EV-059,EV-060"</formula1>
    </dataValidation>
    <dataValidation sqref="S4:S21" showDropDown="0" showInputMessage="0" showErrorMessage="0" allowBlank="1" type="list">
      <formula1>"Electric Ledger,RTO Capacity,Local Fiscal,Water Env,Credit Collateral,Distributional,Public-welfare transfer"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23.32999992370605" customWidth="1" min="1" max="1"/>
    <col width="16.67000007629395" customWidth="1" min="2" max="2"/>
    <col width="16.67000007629395" customWidth="1" min="3" max="3"/>
    <col width="16.67000007629395" customWidth="1" min="4" max="4"/>
    <col width="16.67000007629395" customWidth="1" min="5" max="5"/>
    <col width="13.32999992370605" customWidth="1" min="6" max="6"/>
    <col width="13.32999992370605" customWidth="1" min="7" max="7"/>
    <col width="13.32999992370605" customWidth="1" min="8" max="8"/>
    <col width="13.32999992370605" customWidth="1" min="9" max="9"/>
    <col width="13.32999992370605" customWidth="1" min="10" max="10"/>
    <col width="22.78000068664551" customWidth="1" min="11" max="11"/>
    <col width="22.78000068664551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33.59999847412109" customHeight="1">
      <c r="A1" s="4" t="inlineStr">
        <is>
          <t>Local Fiscal</t>
        </is>
      </c>
      <c r="B1" s="4" t="str"/>
      <c r="C1" s="4" t="str"/>
      <c r="D1" s="4" t="str"/>
      <c r="E1" s="4" t="str"/>
      <c r="F1" s="4" t="str"/>
      <c r="G1" s="4" t="str"/>
      <c r="H1" s="4" t="str"/>
      <c r="I1" s="4" t="str"/>
      <c r="J1" s="4" t="str"/>
      <c r="K1" s="4" t="str"/>
      <c r="L1" s="4" t="str"/>
      <c r="M1" s="4" t="str"/>
      <c r="N1" s="4" t="str"/>
      <c r="O1" s="4" t="str"/>
      <c r="P1" s="4" t="str"/>
      <c r="Q1" s="4" t="str"/>
      <c r="R1" s="4" t="str"/>
      <c r="S1" s="4" t="str"/>
      <c r="T1" s="4" t="str"/>
    </row>
    <row r="2" ht="15" customHeight="1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</row>
    <row r="3" ht="39.59999847412109" customHeight="1">
      <c r="A3" s="8" t="inlineStr">
        <is>
          <t>Ledger line</t>
        </is>
      </c>
      <c r="B3" s="8" t="inlineStr">
        <is>
          <t>Applicability</t>
        </is>
      </c>
      <c r="C3" s="8" t="inlineStr">
        <is>
          <t>Causation category</t>
        </is>
      </c>
      <c r="D3" s="8" t="inlineStr">
        <is>
          <t>Evidence band</t>
        </is>
      </c>
      <c r="E3" s="8" t="inlineStr">
        <is>
          <t>Unit</t>
        </is>
      </c>
      <c r="F3" s="8" t="inlineStr">
        <is>
          <t>Base exposure</t>
        </is>
      </c>
      <c r="G3" s="8" t="inlineStr">
        <is>
          <t>Stress exposure</t>
        </is>
      </c>
      <c r="H3" s="8" t="inlineStr">
        <is>
          <t>Credited resources</t>
        </is>
      </c>
      <c r="I3" s="8" t="inlineStr">
        <is>
          <t>Base gap</t>
        </is>
      </c>
      <c r="J3" s="8" t="inlineStr">
        <is>
          <t>Stress gap</t>
        </is>
      </c>
      <c r="K3" s="8" t="inlineStr">
        <is>
          <t>Status</t>
        </is>
      </c>
      <c r="L3" s="8" t="inlineStr">
        <is>
          <t>Evidence status</t>
        </is>
      </c>
      <c r="M3" s="8" t="inlineStr">
        <is>
          <t>Residual claimant</t>
        </is>
      </c>
      <c r="N3" s="8" t="inlineStr">
        <is>
          <t>Source URL / docket</t>
        </is>
      </c>
      <c r="O3" s="8" t="inlineStr">
        <is>
          <t>Page / table / order pin</t>
        </is>
      </c>
      <c r="P3" s="8" t="inlineStr">
        <is>
          <t>Evidence ID</t>
        </is>
      </c>
      <c r="Q3" s="8" t="inlineStr">
        <is>
          <t>Evidence quality check</t>
        </is>
      </c>
      <c r="R3" s="8" t="inlineStr">
        <is>
          <t>Cross-ledger check</t>
        </is>
      </c>
      <c r="S3" s="8" t="inlineStr">
        <is>
          <t>Resource ledger of origin</t>
        </is>
      </c>
      <c r="T3" s="8" t="inlineStr">
        <is>
          <t>Notes</t>
        </is>
      </c>
    </row>
    <row r="4" ht="52.79999923706055" customHeight="1">
      <c r="A4" s="15" t="inlineStr">
        <is>
          <t>Tax abatement</t>
        </is>
      </c>
      <c r="B4" s="32" t="inlineStr">
        <is>
          <t>Unknown</t>
        </is>
      </c>
      <c r="C4" s="32" t="inlineStr">
        <is>
          <t>Local fiscal</t>
        </is>
      </c>
      <c r="D4" s="32" t="str"/>
      <c r="E4" s="32" t="inlineStr">
        <is>
          <t>NPV</t>
        </is>
      </c>
      <c r="F4" s="33" t="str"/>
      <c r="G4" s="33" t="str"/>
      <c r="H4" s="33" t="str"/>
      <c r="I4" s="31">
        <f>IF(OR(A4="",B4&lt;&gt;"Triggered",F4="",H4=""),"",H4-F4)</f>
        <v/>
      </c>
      <c r="J4" s="31">
        <f>IF(OR(A4="",B4&lt;&gt;"Triggered",G4="",H4=""),"",H4-G4)</f>
        <v/>
      </c>
      <c r="K4" s="17">
        <f>IF(A4="","",IF(B4="Not applicable","Not applicable",IF(B4="Not triggered","Not triggered",IF(B4="Unknown","Unresolved, evidence missing",IF(L4="Confidential-reviewable","Unresolved, confidential but reviewable",IF(L4="Contested","Unresolved, contested",IF(COUNTIFS('Stress Cases'!$K$4:$K$12,"Local Fiscal",'Stress Cases'!$L$4:$L$12,A4,'Stress Cases'!$I$4:$I$12,"Failed under stress")&gt;0,"Failed under linked stress case",IF(COUNTIFS('Stress Cases'!$K$4:$K$12,"Local Fiscal",'Stress Cases'!$L$4:$L$12,A4,'Stress Cases'!$I$4:$I$12,"Unresolved*")&gt;0,"Unresolved, linked stress missing",IF(OR(F4="",H4=""),"Unresolved, evidence missing",IF(AND(H4&gt;0,S4=""),"Unresolved, resource origin missing",IF(OR(ISNUMBER(SEARCH("No evidence",Q4)),ISNUMBER(SEARCH("Missing substantive",Q4)),ISNUMBER(SEARCH("Contested substantive",Q4))),"Unresolved, evidence missing",IF(AND(R4="Yes",S4&lt;&gt;"Public-welfare transfer"),"Unresolved, cross-ledger transfer missing",IF(I4&lt;0,"Failed under stress",IF(AND(J4&lt;&gt;"",J4&lt;0),"Conditional pass","Pass"))))))))))))))</f>
        <v/>
      </c>
      <c r="L4" s="32" t="inlineStr">
        <is>
          <t>Missing</t>
        </is>
      </c>
      <c r="M4" s="32" t="str"/>
      <c r="N4" s="32" t="str"/>
      <c r="O4" s="32" t="str"/>
      <c r="P4" s="32" t="str"/>
      <c r="Q4" s="17">
        <f>IF(A4="","",IF(P4="","No evidence ID",IFERROR(IF(VLOOKUP(P4,'Evidence Register'!A:M,11,FALSE)="Missing","Missing substantive evidence",IF(VLOOKUP(P4,'Evidence Register'!A:M,11,FALSE)="Contested","Contested substantive evidence",IF(VLOOKUP(P4,'Evidence Register'!A:M,10,FALSE)="Pinned","Pinned evidence",IF(VLOOKUP(P4,'Evidence Register'!A:M,10,FALSE)="Confidential-reviewable","Reviewable evidence","Pin issue: "&amp;VLOOKUP(P4,'Evidence Register'!A:M,10,FALSE))))),"Missing evidence ID")))</f>
        <v/>
      </c>
      <c r="R4" s="17">
        <f>IF(A4="","",IF(OR(H4="",H4=0),"",IF(S4="","Missing origin",IF(S4&lt;&gt;"Local Fiscal","Yes","No"))))</f>
        <v/>
      </c>
      <c r="S4" s="32" t="str"/>
      <c r="T4" s="32" t="str"/>
    </row>
    <row r="5" ht="52.79999923706055" customHeight="1">
      <c r="A5" s="15" t="inlineStr">
        <is>
          <t>PILOT / fees</t>
        </is>
      </c>
      <c r="B5" s="32" t="inlineStr">
        <is>
          <t>Unknown</t>
        </is>
      </c>
      <c r="C5" s="32" t="inlineStr">
        <is>
          <t>Local fiscal</t>
        </is>
      </c>
      <c r="D5" s="32" t="str"/>
      <c r="E5" s="32" t="inlineStr">
        <is>
          <t>NPV</t>
        </is>
      </c>
      <c r="F5" s="33" t="str"/>
      <c r="G5" s="33" t="str"/>
      <c r="H5" s="33" t="str"/>
      <c r="I5" s="31">
        <f>IF(OR(A5="",B5&lt;&gt;"Triggered",F5="",H5=""),"",H5-F5)</f>
        <v/>
      </c>
      <c r="J5" s="31">
        <f>IF(OR(A5="",B5&lt;&gt;"Triggered",G5="",H5=""),"",H5-G5)</f>
        <v/>
      </c>
      <c r="K5" s="17">
        <f>IF(A5="","",IF(B5="Not applicable","Not applicable",IF(B5="Not triggered","Not triggered",IF(B5="Unknown","Unresolved, evidence missing",IF(L5="Confidential-reviewable","Unresolved, confidential but reviewable",IF(L5="Contested","Unresolved, contested",IF(COUNTIFS('Stress Cases'!$K$4:$K$12,"Local Fiscal",'Stress Cases'!$L$4:$L$12,A5,'Stress Cases'!$I$4:$I$12,"Failed under stress")&gt;0,"Failed under linked stress case",IF(COUNTIFS('Stress Cases'!$K$4:$K$12,"Local Fiscal",'Stress Cases'!$L$4:$L$12,A5,'Stress Cases'!$I$4:$I$12,"Unresolved*")&gt;0,"Unresolved, linked stress missing",IF(OR(F5="",H5=""),"Unresolved, evidence missing",IF(AND(H5&gt;0,S5=""),"Unresolved, resource origin missing",IF(OR(ISNUMBER(SEARCH("No evidence",Q5)),ISNUMBER(SEARCH("Missing substantive",Q5)),ISNUMBER(SEARCH("Contested substantive",Q5))),"Unresolved, evidence missing",IF(AND(R5="Yes",S5&lt;&gt;"Public-welfare transfer"),"Unresolved, cross-ledger transfer missing",IF(I5&lt;0,"Failed under stress",IF(AND(J5&lt;&gt;"",J5&lt;0),"Conditional pass","Pass"))))))))))))))</f>
        <v/>
      </c>
      <c r="L5" s="32" t="inlineStr">
        <is>
          <t>Missing</t>
        </is>
      </c>
      <c r="M5" s="32" t="str"/>
      <c r="N5" s="32" t="str"/>
      <c r="O5" s="32" t="str"/>
      <c r="P5" s="32" t="str"/>
      <c r="Q5" s="17">
        <f>IF(A5="","",IF(P5="","No evidence ID",IFERROR(IF(VLOOKUP(P5,'Evidence Register'!A:M,11,FALSE)="Missing","Missing substantive evidence",IF(VLOOKUP(P5,'Evidence Register'!A:M,11,FALSE)="Contested","Contested substantive evidence",IF(VLOOKUP(P5,'Evidence Register'!A:M,10,FALSE)="Pinned","Pinned evidence",IF(VLOOKUP(P5,'Evidence Register'!A:M,10,FALSE)="Confidential-reviewable","Reviewable evidence","Pin issue: "&amp;VLOOKUP(P5,'Evidence Register'!A:M,10,FALSE))))),"Missing evidence ID")))</f>
        <v/>
      </c>
      <c r="R5" s="17">
        <f>IF(A5="","",IF(OR(H5="",H5=0),"",IF(S5="","Missing origin",IF(S5&lt;&gt;"Local Fiscal","Yes","No"))))</f>
        <v/>
      </c>
      <c r="S5" s="32" t="str"/>
      <c r="T5" s="32" t="str"/>
    </row>
    <row r="6" ht="52.79999923706055" customHeight="1">
      <c r="A6" s="15" t="inlineStr">
        <is>
          <t>School district effect</t>
        </is>
      </c>
      <c r="B6" s="32" t="inlineStr">
        <is>
          <t>Unknown</t>
        </is>
      </c>
      <c r="C6" s="32" t="inlineStr">
        <is>
          <t>Local fiscal</t>
        </is>
      </c>
      <c r="D6" s="32" t="str"/>
      <c r="E6" s="32" t="inlineStr">
        <is>
          <t>NPV</t>
        </is>
      </c>
      <c r="F6" s="33" t="str"/>
      <c r="G6" s="33" t="str"/>
      <c r="H6" s="33" t="str"/>
      <c r="I6" s="31">
        <f>IF(OR(A6="",B6&lt;&gt;"Triggered",F6="",H6=""),"",H6-F6)</f>
        <v/>
      </c>
      <c r="J6" s="31">
        <f>IF(OR(A6="",B6&lt;&gt;"Triggered",G6="",H6=""),"",H6-G6)</f>
        <v/>
      </c>
      <c r="K6" s="17">
        <f>IF(A6="","",IF(B6="Not applicable","Not applicable",IF(B6="Not triggered","Not triggered",IF(B6="Unknown","Unresolved, evidence missing",IF(L6="Confidential-reviewable","Unresolved, confidential but reviewable",IF(L6="Contested","Unresolved, contested",IF(COUNTIFS('Stress Cases'!$K$4:$K$12,"Local Fiscal",'Stress Cases'!$L$4:$L$12,A6,'Stress Cases'!$I$4:$I$12,"Failed under stress")&gt;0,"Failed under linked stress case",IF(COUNTIFS('Stress Cases'!$K$4:$K$12,"Local Fiscal",'Stress Cases'!$L$4:$L$12,A6,'Stress Cases'!$I$4:$I$12,"Unresolved*")&gt;0,"Unresolved, linked stress missing",IF(OR(F6="",H6=""),"Unresolved, evidence missing",IF(AND(H6&gt;0,S6=""),"Unresolved, resource origin missing",IF(OR(ISNUMBER(SEARCH("No evidence",Q6)),ISNUMBER(SEARCH("Missing substantive",Q6)),ISNUMBER(SEARCH("Contested substantive",Q6))),"Unresolved, evidence missing",IF(AND(R6="Yes",S6&lt;&gt;"Public-welfare transfer"),"Unresolved, cross-ledger transfer missing",IF(I6&lt;0,"Failed under stress",IF(AND(J6&lt;&gt;"",J6&lt;0),"Conditional pass","Pass"))))))))))))))</f>
        <v/>
      </c>
      <c r="L6" s="32" t="inlineStr">
        <is>
          <t>Missing</t>
        </is>
      </c>
      <c r="M6" s="32" t="str"/>
      <c r="N6" s="32" t="str"/>
      <c r="O6" s="32" t="str"/>
      <c r="P6" s="32" t="str"/>
      <c r="Q6" s="17">
        <f>IF(A6="","",IF(P6="","No evidence ID",IFERROR(IF(VLOOKUP(P6,'Evidence Register'!A:M,11,FALSE)="Missing","Missing substantive evidence",IF(VLOOKUP(P6,'Evidence Register'!A:M,11,FALSE)="Contested","Contested substantive evidence",IF(VLOOKUP(P6,'Evidence Register'!A:M,10,FALSE)="Pinned","Pinned evidence",IF(VLOOKUP(P6,'Evidence Register'!A:M,10,FALSE)="Confidential-reviewable","Reviewable evidence","Pin issue: "&amp;VLOOKUP(P6,'Evidence Register'!A:M,10,FALSE))))),"Missing evidence ID")))</f>
        <v/>
      </c>
      <c r="R6" s="17">
        <f>IF(A6="","",IF(OR(H6="",H6=0),"",IF(S6="","Missing origin",IF(S6&lt;&gt;"Local Fiscal","Yes","No"))))</f>
        <v/>
      </c>
      <c r="S6" s="32" t="str"/>
      <c r="T6" s="32" t="str"/>
    </row>
    <row r="7" ht="52.79999923706055" customHeight="1">
      <c r="A7" s="15" t="inlineStr">
        <is>
          <t>Roads / fire / public safety</t>
        </is>
      </c>
      <c r="B7" s="32" t="inlineStr">
        <is>
          <t>Unknown</t>
        </is>
      </c>
      <c r="C7" s="32" t="inlineStr">
        <is>
          <t>Local fiscal</t>
        </is>
      </c>
      <c r="D7" s="32" t="str"/>
      <c r="E7" s="32" t="inlineStr">
        <is>
          <t>NPV</t>
        </is>
      </c>
      <c r="F7" s="33" t="str"/>
      <c r="G7" s="33" t="str"/>
      <c r="H7" s="33" t="str"/>
      <c r="I7" s="31">
        <f>IF(OR(A7="",B7&lt;&gt;"Triggered",F7="",H7=""),"",H7-F7)</f>
        <v/>
      </c>
      <c r="J7" s="31">
        <f>IF(OR(A7="",B7&lt;&gt;"Triggered",G7="",H7=""),"",H7-G7)</f>
        <v/>
      </c>
      <c r="K7" s="17">
        <f>IF(A7="","",IF(B7="Not applicable","Not applicable",IF(B7="Not triggered","Not triggered",IF(B7="Unknown","Unresolved, evidence missing",IF(L7="Confidential-reviewable","Unresolved, confidential but reviewable",IF(L7="Contested","Unresolved, contested",IF(COUNTIFS('Stress Cases'!$K$4:$K$12,"Local Fiscal",'Stress Cases'!$L$4:$L$12,A7,'Stress Cases'!$I$4:$I$12,"Failed under stress")&gt;0,"Failed under linked stress case",IF(COUNTIFS('Stress Cases'!$K$4:$K$12,"Local Fiscal",'Stress Cases'!$L$4:$L$12,A7,'Stress Cases'!$I$4:$I$12,"Unresolved*")&gt;0,"Unresolved, linked stress missing",IF(OR(F7="",H7=""),"Unresolved, evidence missing",IF(AND(H7&gt;0,S7=""),"Unresolved, resource origin missing",IF(OR(ISNUMBER(SEARCH("No evidence",Q7)),ISNUMBER(SEARCH("Missing substantive",Q7)),ISNUMBER(SEARCH("Contested substantive",Q7))),"Unresolved, evidence missing",IF(AND(R7="Yes",S7&lt;&gt;"Public-welfare transfer"),"Unresolved, cross-ledger transfer missing",IF(I7&lt;0,"Failed under stress",IF(AND(J7&lt;&gt;"",J7&lt;0),"Conditional pass","Pass"))))))))))))))</f>
        <v/>
      </c>
      <c r="L7" s="32" t="inlineStr">
        <is>
          <t>Missing</t>
        </is>
      </c>
      <c r="M7" s="32" t="str"/>
      <c r="N7" s="32" t="str"/>
      <c r="O7" s="32" t="str"/>
      <c r="P7" s="32" t="str"/>
      <c r="Q7" s="17">
        <f>IF(A7="","",IF(P7="","No evidence ID",IFERROR(IF(VLOOKUP(P7,'Evidence Register'!A:M,11,FALSE)="Missing","Missing substantive evidence",IF(VLOOKUP(P7,'Evidence Register'!A:M,11,FALSE)="Contested","Contested substantive evidence",IF(VLOOKUP(P7,'Evidence Register'!A:M,10,FALSE)="Pinned","Pinned evidence",IF(VLOOKUP(P7,'Evidence Register'!A:M,10,FALSE)="Confidential-reviewable","Reviewable evidence","Pin issue: "&amp;VLOOKUP(P7,'Evidence Register'!A:M,10,FALSE))))),"Missing evidence ID")))</f>
        <v/>
      </c>
      <c r="R7" s="17">
        <f>IF(A7="","",IF(OR(H7="",H7=0),"",IF(S7="","Missing origin",IF(S7&lt;&gt;"Local Fiscal","Yes","No"))))</f>
        <v/>
      </c>
      <c r="S7" s="32" t="str"/>
      <c r="T7" s="32" t="str"/>
    </row>
    <row r="8" ht="52.79999923706055" customHeight="1">
      <c r="A8" s="15" t="inlineStr">
        <is>
          <t>Community benefit agreement</t>
        </is>
      </c>
      <c r="B8" s="32" t="inlineStr">
        <is>
          <t>Unknown</t>
        </is>
      </c>
      <c r="C8" s="32" t="inlineStr">
        <is>
          <t>Public welfare</t>
        </is>
      </c>
      <c r="D8" s="32" t="str"/>
      <c r="E8" s="32" t="inlineStr">
        <is>
          <t>NPV / non-monetized</t>
        </is>
      </c>
      <c r="F8" s="33" t="str"/>
      <c r="G8" s="33" t="str"/>
      <c r="H8" s="33" t="str"/>
      <c r="I8" s="31">
        <f>IF(OR(A8="",B8&lt;&gt;"Triggered",F8="",H8=""),"",H8-F8)</f>
        <v/>
      </c>
      <c r="J8" s="31">
        <f>IF(OR(A8="",B8&lt;&gt;"Triggered",G8="",H8=""),"",H8-G8)</f>
        <v/>
      </c>
      <c r="K8" s="17">
        <f>IF(A8="","",IF(B8="Not applicable","Not applicable",IF(B8="Not triggered","Not triggered",IF(B8="Unknown","Unresolved, evidence missing",IF(L8="Confidential-reviewable","Unresolved, confidential but reviewable",IF(L8="Contested","Unresolved, contested",IF(COUNTIFS('Stress Cases'!$K$4:$K$12,"Local Fiscal",'Stress Cases'!$L$4:$L$12,A8,'Stress Cases'!$I$4:$I$12,"Failed under stress")&gt;0,"Failed under linked stress case",IF(COUNTIFS('Stress Cases'!$K$4:$K$12,"Local Fiscal",'Stress Cases'!$L$4:$L$12,A8,'Stress Cases'!$I$4:$I$12,"Unresolved*")&gt;0,"Unresolved, linked stress missing",IF(OR(F8="",H8=""),"Unresolved, evidence missing",IF(AND(H8&gt;0,S8=""),"Unresolved, resource origin missing",IF(OR(ISNUMBER(SEARCH("No evidence",Q8)),ISNUMBER(SEARCH("Missing substantive",Q8)),ISNUMBER(SEARCH("Contested substantive",Q8))),"Unresolved, evidence missing",IF(AND(R8="Yes",S8&lt;&gt;"Public-welfare transfer"),"Unresolved, cross-ledger transfer missing",IF(I8&lt;0,"Failed under stress",IF(AND(J8&lt;&gt;"",J8&lt;0),"Conditional pass","Pass"))))))))))))))</f>
        <v/>
      </c>
      <c r="L8" s="32" t="inlineStr">
        <is>
          <t>Missing</t>
        </is>
      </c>
      <c r="M8" s="32" t="str"/>
      <c r="N8" s="32" t="str"/>
      <c r="O8" s="32" t="str"/>
      <c r="P8" s="32" t="str"/>
      <c r="Q8" s="17">
        <f>IF(A8="","",IF(P8="","No evidence ID",IFERROR(IF(VLOOKUP(P8,'Evidence Register'!A:M,11,FALSE)="Missing","Missing substantive evidence",IF(VLOOKUP(P8,'Evidence Register'!A:M,11,FALSE)="Contested","Contested substantive evidence",IF(VLOOKUP(P8,'Evidence Register'!A:M,10,FALSE)="Pinned","Pinned evidence",IF(VLOOKUP(P8,'Evidence Register'!A:M,10,FALSE)="Confidential-reviewable","Reviewable evidence","Pin issue: "&amp;VLOOKUP(P8,'Evidence Register'!A:M,10,FALSE))))),"Missing evidence ID")))</f>
        <v/>
      </c>
      <c r="R8" s="17">
        <f>IF(A8="","",IF(OR(H8="",H8=0),"",IF(S8="","Missing origin",IF(S8&lt;&gt;"Local Fiscal","Yes","No"))))</f>
        <v/>
      </c>
      <c r="S8" s="32" t="str"/>
      <c r="T8" s="32" t="str"/>
    </row>
    <row r="9" ht="15" customHeight="1">
      <c r="A9" s="15" t="str"/>
      <c r="B9" s="32" t="str"/>
      <c r="C9" s="32" t="str"/>
      <c r="D9" s="32" t="str"/>
      <c r="E9" s="32" t="str"/>
      <c r="F9" s="33" t="str"/>
      <c r="G9" s="33" t="str"/>
      <c r="H9" s="33" t="str"/>
      <c r="I9" s="31">
        <f>IF(OR(A9="",B9&lt;&gt;"Triggered",F9="",H9=""),"",H9-F9)</f>
        <v/>
      </c>
      <c r="J9" s="31">
        <f>IF(OR(A9="",B9&lt;&gt;"Triggered",G9="",H9=""),"",H9-G9)</f>
        <v/>
      </c>
      <c r="K9" s="17">
        <f>IF(A9="","",IF(B9="Not applicable","Not applicable",IF(B9="Not triggered","Not triggered",IF(B9="Unknown","Unresolved, evidence missing",IF(L9="Confidential-reviewable","Unresolved, confidential but reviewable",IF(L9="Contested","Unresolved, contested",IF(COUNTIFS('Stress Cases'!$K$4:$K$12,"Local Fiscal",'Stress Cases'!$L$4:$L$12,A9,'Stress Cases'!$I$4:$I$12,"Failed under stress")&gt;0,"Failed under linked stress case",IF(COUNTIFS('Stress Cases'!$K$4:$K$12,"Local Fiscal",'Stress Cases'!$L$4:$L$12,A9,'Stress Cases'!$I$4:$I$12,"Unresolved*")&gt;0,"Unresolved, linked stress missing",IF(OR(F9="",H9=""),"Unresolved, evidence missing",IF(AND(H9&gt;0,S9=""),"Unresolved, resource origin missing",IF(OR(ISNUMBER(SEARCH("No evidence",Q9)),ISNUMBER(SEARCH("Missing substantive",Q9)),ISNUMBER(SEARCH("Contested substantive",Q9))),"Unresolved, evidence missing",IF(AND(R9="Yes",S9&lt;&gt;"Public-welfare transfer"),"Unresolved, cross-ledger transfer missing",IF(I9&lt;0,"Failed under stress",IF(AND(J9&lt;&gt;"",J9&lt;0),"Conditional pass","Pass"))))))))))))))</f>
        <v/>
      </c>
      <c r="L9" s="32" t="str"/>
      <c r="M9" s="32" t="str"/>
      <c r="N9" s="32" t="str"/>
      <c r="O9" s="32" t="str"/>
      <c r="P9" s="32" t="str"/>
      <c r="Q9" s="17">
        <f>IF(A9="","",IF(P9="","No evidence ID",IFERROR(IF(VLOOKUP(P9,'Evidence Register'!A:M,11,FALSE)="Missing","Missing substantive evidence",IF(VLOOKUP(P9,'Evidence Register'!A:M,11,FALSE)="Contested","Contested substantive evidence",IF(VLOOKUP(P9,'Evidence Register'!A:M,10,FALSE)="Pinned","Pinned evidence",IF(VLOOKUP(P9,'Evidence Register'!A:M,10,FALSE)="Confidential-reviewable","Reviewable evidence","Pin issue: "&amp;VLOOKUP(P9,'Evidence Register'!A:M,10,FALSE))))),"Missing evidence ID")))</f>
        <v/>
      </c>
      <c r="R9" s="17">
        <f>IF(A9="","",IF(OR(H9="",H9=0),"",IF(S9="","Missing origin",IF(S9&lt;&gt;"Local Fiscal","Yes","No"))))</f>
        <v/>
      </c>
      <c r="S9" s="32" t="str"/>
      <c r="T9" s="32" t="str"/>
    </row>
    <row r="10" ht="15" customHeight="1">
      <c r="A10" s="15" t="str"/>
      <c r="B10" s="32" t="str"/>
      <c r="C10" s="32" t="str"/>
      <c r="D10" s="32" t="str"/>
      <c r="E10" s="32" t="str"/>
      <c r="F10" s="33" t="str"/>
      <c r="G10" s="33" t="str"/>
      <c r="H10" s="33" t="str"/>
      <c r="I10" s="31">
        <f>IF(OR(A10="",B10&lt;&gt;"Triggered",F10="",H10=""),"",H10-F10)</f>
        <v/>
      </c>
      <c r="J10" s="31">
        <f>IF(OR(A10="",B10&lt;&gt;"Triggered",G10="",H10=""),"",H10-G10)</f>
        <v/>
      </c>
      <c r="K10" s="17">
        <f>IF(A10="","",IF(B10="Not applicable","Not applicable",IF(B10="Not triggered","Not triggered",IF(B10="Unknown","Unresolved, evidence missing",IF(L10="Confidential-reviewable","Unresolved, confidential but reviewable",IF(L10="Contested","Unresolved, contested",IF(COUNTIFS('Stress Cases'!$K$4:$K$12,"Local Fiscal",'Stress Cases'!$L$4:$L$12,A10,'Stress Cases'!$I$4:$I$12,"Failed under stress")&gt;0,"Failed under linked stress case",IF(COUNTIFS('Stress Cases'!$K$4:$K$12,"Local Fiscal",'Stress Cases'!$L$4:$L$12,A10,'Stress Cases'!$I$4:$I$12,"Unresolved*")&gt;0,"Unresolved, linked stress missing",IF(OR(F10="",H10=""),"Unresolved, evidence missing",IF(AND(H10&gt;0,S10=""),"Unresolved, resource origin missing",IF(OR(ISNUMBER(SEARCH("No evidence",Q10)),ISNUMBER(SEARCH("Missing substantive",Q10)),ISNUMBER(SEARCH("Contested substantive",Q10))),"Unresolved, evidence missing",IF(AND(R10="Yes",S10&lt;&gt;"Public-welfare transfer"),"Unresolved, cross-ledger transfer missing",IF(I10&lt;0,"Failed under stress",IF(AND(J10&lt;&gt;"",J10&lt;0),"Conditional pass","Pass"))))))))))))))</f>
        <v/>
      </c>
      <c r="L10" s="32" t="str"/>
      <c r="M10" s="32" t="str"/>
      <c r="N10" s="32" t="str"/>
      <c r="O10" s="32" t="str"/>
      <c r="P10" s="32" t="str"/>
      <c r="Q10" s="17">
        <f>IF(A10="","",IF(P10="","No evidence ID",IFERROR(IF(VLOOKUP(P10,'Evidence Register'!A:M,11,FALSE)="Missing","Missing substantive evidence",IF(VLOOKUP(P10,'Evidence Register'!A:M,11,FALSE)="Contested","Contested substantive evidence",IF(VLOOKUP(P10,'Evidence Register'!A:M,10,FALSE)="Pinned","Pinned evidence",IF(VLOOKUP(P10,'Evidence Register'!A:M,10,FALSE)="Confidential-reviewable","Reviewable evidence","Pin issue: "&amp;VLOOKUP(P10,'Evidence Register'!A:M,10,FALSE))))),"Missing evidence ID")))</f>
        <v/>
      </c>
      <c r="R10" s="17">
        <f>IF(A10="","",IF(OR(H10="",H10=0),"",IF(S10="","Missing origin",IF(S10&lt;&gt;"Local Fiscal","Yes","No"))))</f>
        <v/>
      </c>
      <c r="S10" s="32" t="str"/>
      <c r="T10" s="32" t="str"/>
    </row>
    <row r="11" ht="15" customHeight="1">
      <c r="A11" s="15" t="str"/>
      <c r="B11" s="32" t="str"/>
      <c r="C11" s="32" t="str"/>
      <c r="D11" s="32" t="str"/>
      <c r="E11" s="32" t="str"/>
      <c r="F11" s="33" t="str"/>
      <c r="G11" s="33" t="str"/>
      <c r="H11" s="33" t="str"/>
      <c r="I11" s="31">
        <f>IF(OR(A11="",B11&lt;&gt;"Triggered",F11="",H11=""),"",H11-F11)</f>
        <v/>
      </c>
      <c r="J11" s="31">
        <f>IF(OR(A11="",B11&lt;&gt;"Triggered",G11="",H11=""),"",H11-G11)</f>
        <v/>
      </c>
      <c r="K11" s="17">
        <f>IF(A11="","",IF(B11="Not applicable","Not applicable",IF(B11="Not triggered","Not triggered",IF(B11="Unknown","Unresolved, evidence missing",IF(L11="Confidential-reviewable","Unresolved, confidential but reviewable",IF(L11="Contested","Unresolved, contested",IF(COUNTIFS('Stress Cases'!$K$4:$K$12,"Local Fiscal",'Stress Cases'!$L$4:$L$12,A11,'Stress Cases'!$I$4:$I$12,"Failed under stress")&gt;0,"Failed under linked stress case",IF(COUNTIFS('Stress Cases'!$K$4:$K$12,"Local Fiscal",'Stress Cases'!$L$4:$L$12,A11,'Stress Cases'!$I$4:$I$12,"Unresolved*")&gt;0,"Unresolved, linked stress missing",IF(OR(F11="",H11=""),"Unresolved, evidence missing",IF(AND(H11&gt;0,S11=""),"Unresolved, resource origin missing",IF(OR(ISNUMBER(SEARCH("No evidence",Q11)),ISNUMBER(SEARCH("Missing substantive",Q11)),ISNUMBER(SEARCH("Contested substantive",Q11))),"Unresolved, evidence missing",IF(AND(R11="Yes",S11&lt;&gt;"Public-welfare transfer"),"Unresolved, cross-ledger transfer missing",IF(I11&lt;0,"Failed under stress",IF(AND(J11&lt;&gt;"",J11&lt;0),"Conditional pass","Pass"))))))))))))))</f>
        <v/>
      </c>
      <c r="L11" s="32" t="str"/>
      <c r="M11" s="32" t="str"/>
      <c r="N11" s="32" t="str"/>
      <c r="O11" s="32" t="str"/>
      <c r="P11" s="32" t="str"/>
      <c r="Q11" s="17">
        <f>IF(A11="","",IF(P11="","No evidence ID",IFERROR(IF(VLOOKUP(P11,'Evidence Register'!A:M,11,FALSE)="Missing","Missing substantive evidence",IF(VLOOKUP(P11,'Evidence Register'!A:M,11,FALSE)="Contested","Contested substantive evidence",IF(VLOOKUP(P11,'Evidence Register'!A:M,10,FALSE)="Pinned","Pinned evidence",IF(VLOOKUP(P11,'Evidence Register'!A:M,10,FALSE)="Confidential-reviewable","Reviewable evidence","Pin issue: "&amp;VLOOKUP(P11,'Evidence Register'!A:M,10,FALSE))))),"Missing evidence ID")))</f>
        <v/>
      </c>
      <c r="R11" s="17">
        <f>IF(A11="","",IF(OR(H11="",H11=0),"",IF(S11="","Missing origin",IF(S11&lt;&gt;"Local Fiscal","Yes","No"))))</f>
        <v/>
      </c>
      <c r="S11" s="32" t="str"/>
      <c r="T11" s="32" t="str"/>
    </row>
    <row r="12" ht="15" customHeight="1">
      <c r="A12" s="15" t="str"/>
      <c r="B12" s="32" t="str"/>
      <c r="C12" s="32" t="str"/>
      <c r="D12" s="32" t="str"/>
      <c r="E12" s="32" t="str"/>
      <c r="F12" s="33" t="str"/>
      <c r="G12" s="33" t="str"/>
      <c r="H12" s="33" t="str"/>
      <c r="I12" s="31">
        <f>IF(OR(A12="",B12&lt;&gt;"Triggered",F12="",H12=""),"",H12-F12)</f>
        <v/>
      </c>
      <c r="J12" s="31">
        <f>IF(OR(A12="",B12&lt;&gt;"Triggered",G12="",H12=""),"",H12-G12)</f>
        <v/>
      </c>
      <c r="K12" s="17">
        <f>IF(A12="","",IF(B12="Not applicable","Not applicable",IF(B12="Not triggered","Not triggered",IF(B12="Unknown","Unresolved, evidence missing",IF(L12="Confidential-reviewable","Unresolved, confidential but reviewable",IF(L12="Contested","Unresolved, contested",IF(COUNTIFS('Stress Cases'!$K$4:$K$12,"Local Fiscal",'Stress Cases'!$L$4:$L$12,A12,'Stress Cases'!$I$4:$I$12,"Failed under stress")&gt;0,"Failed under linked stress case",IF(COUNTIFS('Stress Cases'!$K$4:$K$12,"Local Fiscal",'Stress Cases'!$L$4:$L$12,A12,'Stress Cases'!$I$4:$I$12,"Unresolved*")&gt;0,"Unresolved, linked stress missing",IF(OR(F12="",H12=""),"Unresolved, evidence missing",IF(AND(H12&gt;0,S12=""),"Unresolved, resource origin missing",IF(OR(ISNUMBER(SEARCH("No evidence",Q12)),ISNUMBER(SEARCH("Missing substantive",Q12)),ISNUMBER(SEARCH("Contested substantive",Q12))),"Unresolved, evidence missing",IF(AND(R12="Yes",S12&lt;&gt;"Public-welfare transfer"),"Unresolved, cross-ledger transfer missing",IF(I12&lt;0,"Failed under stress",IF(AND(J12&lt;&gt;"",J12&lt;0),"Conditional pass","Pass"))))))))))))))</f>
        <v/>
      </c>
      <c r="L12" s="32" t="str"/>
      <c r="M12" s="32" t="str"/>
      <c r="N12" s="32" t="str"/>
      <c r="O12" s="32" t="str"/>
      <c r="P12" s="32" t="str"/>
      <c r="Q12" s="17">
        <f>IF(A12="","",IF(P12="","No evidence ID",IFERROR(IF(VLOOKUP(P12,'Evidence Register'!A:M,11,FALSE)="Missing","Missing substantive evidence",IF(VLOOKUP(P12,'Evidence Register'!A:M,11,FALSE)="Contested","Contested substantive evidence",IF(VLOOKUP(P12,'Evidence Register'!A:M,10,FALSE)="Pinned","Pinned evidence",IF(VLOOKUP(P12,'Evidence Register'!A:M,10,FALSE)="Confidential-reviewable","Reviewable evidence","Pin issue: "&amp;VLOOKUP(P12,'Evidence Register'!A:M,10,FALSE))))),"Missing evidence ID")))</f>
        <v/>
      </c>
      <c r="R12" s="17">
        <f>IF(A12="","",IF(OR(H12="",H12=0),"",IF(S12="","Missing origin",IF(S12&lt;&gt;"Local Fiscal","Yes","No"))))</f>
        <v/>
      </c>
      <c r="S12" s="32" t="str"/>
      <c r="T12" s="32" t="str"/>
    </row>
    <row r="13" ht="15" customHeight="1">
      <c r="A13" s="15" t="str"/>
      <c r="B13" s="32" t="str"/>
      <c r="C13" s="32" t="str"/>
      <c r="D13" s="32" t="str"/>
      <c r="E13" s="32" t="str"/>
      <c r="F13" s="33" t="str"/>
      <c r="G13" s="33" t="str"/>
      <c r="H13" s="33" t="str"/>
      <c r="I13" s="31">
        <f>IF(OR(A13="",B13&lt;&gt;"Triggered",F13="",H13=""),"",H13-F13)</f>
        <v/>
      </c>
      <c r="J13" s="31">
        <f>IF(OR(A13="",B13&lt;&gt;"Triggered",G13="",H13=""),"",H13-G13)</f>
        <v/>
      </c>
      <c r="K13" s="17">
        <f>IF(A13="","",IF(B13="Not applicable","Not applicable",IF(B13="Not triggered","Not triggered",IF(B13="Unknown","Unresolved, evidence missing",IF(L13="Confidential-reviewable","Unresolved, confidential but reviewable",IF(L13="Contested","Unresolved, contested",IF(COUNTIFS('Stress Cases'!$K$4:$K$12,"Local Fiscal",'Stress Cases'!$L$4:$L$12,A13,'Stress Cases'!$I$4:$I$12,"Failed under stress")&gt;0,"Failed under linked stress case",IF(COUNTIFS('Stress Cases'!$K$4:$K$12,"Local Fiscal",'Stress Cases'!$L$4:$L$12,A13,'Stress Cases'!$I$4:$I$12,"Unresolved*")&gt;0,"Unresolved, linked stress missing",IF(OR(F13="",H13=""),"Unresolved, evidence missing",IF(AND(H13&gt;0,S13=""),"Unresolved, resource origin missing",IF(OR(ISNUMBER(SEARCH("No evidence",Q13)),ISNUMBER(SEARCH("Missing substantive",Q13)),ISNUMBER(SEARCH("Contested substantive",Q13))),"Unresolved, evidence missing",IF(AND(R13="Yes",S13&lt;&gt;"Public-welfare transfer"),"Unresolved, cross-ledger transfer missing",IF(I13&lt;0,"Failed under stress",IF(AND(J13&lt;&gt;"",J13&lt;0),"Conditional pass","Pass"))))))))))))))</f>
        <v/>
      </c>
      <c r="L13" s="32" t="str"/>
      <c r="M13" s="32" t="str"/>
      <c r="N13" s="32" t="str"/>
      <c r="O13" s="32" t="str"/>
      <c r="P13" s="32" t="str"/>
      <c r="Q13" s="17">
        <f>IF(A13="","",IF(P13="","No evidence ID",IFERROR(IF(VLOOKUP(P13,'Evidence Register'!A:M,11,FALSE)="Missing","Missing substantive evidence",IF(VLOOKUP(P13,'Evidence Register'!A:M,11,FALSE)="Contested","Contested substantive evidence",IF(VLOOKUP(P13,'Evidence Register'!A:M,10,FALSE)="Pinned","Pinned evidence",IF(VLOOKUP(P13,'Evidence Register'!A:M,10,FALSE)="Confidential-reviewable","Reviewable evidence","Pin issue: "&amp;VLOOKUP(P13,'Evidence Register'!A:M,10,FALSE))))),"Missing evidence ID")))</f>
        <v/>
      </c>
      <c r="R13" s="17">
        <f>IF(A13="","",IF(OR(H13="",H13=0),"",IF(S13="","Missing origin",IF(S13&lt;&gt;"Local Fiscal","Yes","No"))))</f>
        <v/>
      </c>
      <c r="S13" s="32" t="str"/>
      <c r="T13" s="32" t="str"/>
    </row>
    <row r="14" ht="15" customHeight="1">
      <c r="A14" s="15" t="str"/>
      <c r="B14" s="32" t="str"/>
      <c r="C14" s="32" t="str"/>
      <c r="D14" s="32" t="str"/>
      <c r="E14" s="32" t="str"/>
      <c r="F14" s="33" t="str"/>
      <c r="G14" s="33" t="str"/>
      <c r="H14" s="33" t="str"/>
      <c r="I14" s="31">
        <f>IF(OR(A14="",B14&lt;&gt;"Triggered",F14="",H14=""),"",H14-F14)</f>
        <v/>
      </c>
      <c r="J14" s="31">
        <f>IF(OR(A14="",B14&lt;&gt;"Triggered",G14="",H14=""),"",H14-G14)</f>
        <v/>
      </c>
      <c r="K14" s="17">
        <f>IF(A14="","",IF(B14="Not applicable","Not applicable",IF(B14="Not triggered","Not triggered",IF(B14="Unknown","Unresolved, evidence missing",IF(L14="Confidential-reviewable","Unresolved, confidential but reviewable",IF(L14="Contested","Unresolved, contested",IF(COUNTIFS('Stress Cases'!$K$4:$K$12,"Local Fiscal",'Stress Cases'!$L$4:$L$12,A14,'Stress Cases'!$I$4:$I$12,"Failed under stress")&gt;0,"Failed under linked stress case",IF(COUNTIFS('Stress Cases'!$K$4:$K$12,"Local Fiscal",'Stress Cases'!$L$4:$L$12,A14,'Stress Cases'!$I$4:$I$12,"Unresolved*")&gt;0,"Unresolved, linked stress missing",IF(OR(F14="",H14=""),"Unresolved, evidence missing",IF(AND(H14&gt;0,S14=""),"Unresolved, resource origin missing",IF(OR(ISNUMBER(SEARCH("No evidence",Q14)),ISNUMBER(SEARCH("Missing substantive",Q14)),ISNUMBER(SEARCH("Contested substantive",Q14))),"Unresolved, evidence missing",IF(AND(R14="Yes",S14&lt;&gt;"Public-welfare transfer"),"Unresolved, cross-ledger transfer missing",IF(I14&lt;0,"Failed under stress",IF(AND(J14&lt;&gt;"",J14&lt;0),"Conditional pass","Pass"))))))))))))))</f>
        <v/>
      </c>
      <c r="L14" s="32" t="str"/>
      <c r="M14" s="32" t="str"/>
      <c r="N14" s="32" t="str"/>
      <c r="O14" s="32" t="str"/>
      <c r="P14" s="32" t="str"/>
      <c r="Q14" s="17">
        <f>IF(A14="","",IF(P14="","No evidence ID",IFERROR(IF(VLOOKUP(P14,'Evidence Register'!A:M,11,FALSE)="Missing","Missing substantive evidence",IF(VLOOKUP(P14,'Evidence Register'!A:M,11,FALSE)="Contested","Contested substantive evidence",IF(VLOOKUP(P14,'Evidence Register'!A:M,10,FALSE)="Pinned","Pinned evidence",IF(VLOOKUP(P14,'Evidence Register'!A:M,10,FALSE)="Confidential-reviewable","Reviewable evidence","Pin issue: "&amp;VLOOKUP(P14,'Evidence Register'!A:M,10,FALSE))))),"Missing evidence ID")))</f>
        <v/>
      </c>
      <c r="R14" s="17">
        <f>IF(A14="","",IF(OR(H14="",H14=0),"",IF(S14="","Missing origin",IF(S14&lt;&gt;"Local Fiscal","Yes","No"))))</f>
        <v/>
      </c>
      <c r="S14" s="32" t="str"/>
      <c r="T14" s="32" t="str"/>
    </row>
    <row r="15" ht="15" customHeight="1">
      <c r="A15" s="15" t="str"/>
      <c r="B15" s="32" t="str"/>
      <c r="C15" s="32" t="str"/>
      <c r="D15" s="32" t="str"/>
      <c r="E15" s="32" t="str"/>
      <c r="F15" s="33" t="str"/>
      <c r="G15" s="33" t="str"/>
      <c r="H15" s="33" t="str"/>
      <c r="I15" s="31">
        <f>IF(OR(A15="",B15&lt;&gt;"Triggered",F15="",H15=""),"",H15-F15)</f>
        <v/>
      </c>
      <c r="J15" s="31">
        <f>IF(OR(A15="",B15&lt;&gt;"Triggered",G15="",H15=""),"",H15-G15)</f>
        <v/>
      </c>
      <c r="K15" s="17">
        <f>IF(A15="","",IF(B15="Not applicable","Not applicable",IF(B15="Not triggered","Not triggered",IF(B15="Unknown","Unresolved, evidence missing",IF(L15="Confidential-reviewable","Unresolved, confidential but reviewable",IF(L15="Contested","Unresolved, contested",IF(COUNTIFS('Stress Cases'!$K$4:$K$12,"Local Fiscal",'Stress Cases'!$L$4:$L$12,A15,'Stress Cases'!$I$4:$I$12,"Failed under stress")&gt;0,"Failed under linked stress case",IF(COUNTIFS('Stress Cases'!$K$4:$K$12,"Local Fiscal",'Stress Cases'!$L$4:$L$12,A15,'Stress Cases'!$I$4:$I$12,"Unresolved*")&gt;0,"Unresolved, linked stress missing",IF(OR(F15="",H15=""),"Unresolved, evidence missing",IF(AND(H15&gt;0,S15=""),"Unresolved, resource origin missing",IF(OR(ISNUMBER(SEARCH("No evidence",Q15)),ISNUMBER(SEARCH("Missing substantive",Q15)),ISNUMBER(SEARCH("Contested substantive",Q15))),"Unresolved, evidence missing",IF(AND(R15="Yes",S15&lt;&gt;"Public-welfare transfer"),"Unresolved, cross-ledger transfer missing",IF(I15&lt;0,"Failed under stress",IF(AND(J15&lt;&gt;"",J15&lt;0),"Conditional pass","Pass"))))))))))))))</f>
        <v/>
      </c>
      <c r="L15" s="32" t="str"/>
      <c r="M15" s="32" t="str"/>
      <c r="N15" s="32" t="str"/>
      <c r="O15" s="32" t="str"/>
      <c r="P15" s="32" t="str"/>
      <c r="Q15" s="17">
        <f>IF(A15="","",IF(P15="","No evidence ID",IFERROR(IF(VLOOKUP(P15,'Evidence Register'!A:M,11,FALSE)="Missing","Missing substantive evidence",IF(VLOOKUP(P15,'Evidence Register'!A:M,11,FALSE)="Contested","Contested substantive evidence",IF(VLOOKUP(P15,'Evidence Register'!A:M,10,FALSE)="Pinned","Pinned evidence",IF(VLOOKUP(P15,'Evidence Register'!A:M,10,FALSE)="Confidential-reviewable","Reviewable evidence","Pin issue: "&amp;VLOOKUP(P15,'Evidence Register'!A:M,10,FALSE))))),"Missing evidence ID")))</f>
        <v/>
      </c>
      <c r="R15" s="17">
        <f>IF(A15="","",IF(OR(H15="",H15=0),"",IF(S15="","Missing origin",IF(S15&lt;&gt;"Local Fiscal","Yes","No"))))</f>
        <v/>
      </c>
      <c r="S15" s="32" t="str"/>
      <c r="T15" s="32" t="str"/>
    </row>
    <row r="16" ht="15" customHeight="1">
      <c r="A16" s="15" t="str"/>
      <c r="B16" s="32" t="str"/>
      <c r="C16" s="32" t="str"/>
      <c r="D16" s="32" t="str"/>
      <c r="E16" s="32" t="str"/>
      <c r="F16" s="33" t="str"/>
      <c r="G16" s="33" t="str"/>
      <c r="H16" s="33" t="str"/>
      <c r="I16" s="31">
        <f>IF(OR(A16="",B16&lt;&gt;"Triggered",F16="",H16=""),"",H16-F16)</f>
        <v/>
      </c>
      <c r="J16" s="31">
        <f>IF(OR(A16="",B16&lt;&gt;"Triggered",G16="",H16=""),"",H16-G16)</f>
        <v/>
      </c>
      <c r="K16" s="17">
        <f>IF(A16="","",IF(B16="Not applicable","Not applicable",IF(B16="Not triggered","Not triggered",IF(B16="Unknown","Unresolved, evidence missing",IF(L16="Confidential-reviewable","Unresolved, confidential but reviewable",IF(L16="Contested","Unresolved, contested",IF(COUNTIFS('Stress Cases'!$K$4:$K$12,"Local Fiscal",'Stress Cases'!$L$4:$L$12,A16,'Stress Cases'!$I$4:$I$12,"Failed under stress")&gt;0,"Failed under linked stress case",IF(COUNTIFS('Stress Cases'!$K$4:$K$12,"Local Fiscal",'Stress Cases'!$L$4:$L$12,A16,'Stress Cases'!$I$4:$I$12,"Unresolved*")&gt;0,"Unresolved, linked stress missing",IF(OR(F16="",H16=""),"Unresolved, evidence missing",IF(AND(H16&gt;0,S16=""),"Unresolved, resource origin missing",IF(OR(ISNUMBER(SEARCH("No evidence",Q16)),ISNUMBER(SEARCH("Missing substantive",Q16)),ISNUMBER(SEARCH("Contested substantive",Q16))),"Unresolved, evidence missing",IF(AND(R16="Yes",S16&lt;&gt;"Public-welfare transfer"),"Unresolved, cross-ledger transfer missing",IF(I16&lt;0,"Failed under stress",IF(AND(J16&lt;&gt;"",J16&lt;0),"Conditional pass","Pass"))))))))))))))</f>
        <v/>
      </c>
      <c r="L16" s="32" t="str"/>
      <c r="M16" s="32" t="str"/>
      <c r="N16" s="32" t="str"/>
      <c r="O16" s="32" t="str"/>
      <c r="P16" s="32" t="str"/>
      <c r="Q16" s="17">
        <f>IF(A16="","",IF(P16="","No evidence ID",IFERROR(IF(VLOOKUP(P16,'Evidence Register'!A:M,11,FALSE)="Missing","Missing substantive evidence",IF(VLOOKUP(P16,'Evidence Register'!A:M,11,FALSE)="Contested","Contested substantive evidence",IF(VLOOKUP(P16,'Evidence Register'!A:M,10,FALSE)="Pinned","Pinned evidence",IF(VLOOKUP(P16,'Evidence Register'!A:M,10,FALSE)="Confidential-reviewable","Reviewable evidence","Pin issue: "&amp;VLOOKUP(P16,'Evidence Register'!A:M,10,FALSE))))),"Missing evidence ID")))</f>
        <v/>
      </c>
      <c r="R16" s="17">
        <f>IF(A16="","",IF(OR(H16="",H16=0),"",IF(S16="","Missing origin",IF(S16&lt;&gt;"Local Fiscal","Yes","No"))))</f>
        <v/>
      </c>
      <c r="S16" s="32" t="str"/>
      <c r="T16" s="32" t="str"/>
    </row>
    <row r="17" ht="15" customHeight="1">
      <c r="A17" s="15" t="str"/>
      <c r="B17" s="32" t="str"/>
      <c r="C17" s="32" t="str"/>
      <c r="D17" s="32" t="str"/>
      <c r="E17" s="32" t="str"/>
      <c r="F17" s="33" t="str"/>
      <c r="G17" s="33" t="str"/>
      <c r="H17" s="33" t="str"/>
      <c r="I17" s="31">
        <f>IF(OR(A17="",B17&lt;&gt;"Triggered",F17="",H17=""),"",H17-F17)</f>
        <v/>
      </c>
      <c r="J17" s="31">
        <f>IF(OR(A17="",B17&lt;&gt;"Triggered",G17="",H17=""),"",H17-G17)</f>
        <v/>
      </c>
      <c r="K17" s="17">
        <f>IF(A17="","",IF(B17="Not applicable","Not applicable",IF(B17="Not triggered","Not triggered",IF(B17="Unknown","Unresolved, evidence missing",IF(L17="Confidential-reviewable","Unresolved, confidential but reviewable",IF(L17="Contested","Unresolved, contested",IF(COUNTIFS('Stress Cases'!$K$4:$K$12,"Local Fiscal",'Stress Cases'!$L$4:$L$12,A17,'Stress Cases'!$I$4:$I$12,"Failed under stress")&gt;0,"Failed under linked stress case",IF(COUNTIFS('Stress Cases'!$K$4:$K$12,"Local Fiscal",'Stress Cases'!$L$4:$L$12,A17,'Stress Cases'!$I$4:$I$12,"Unresolved*")&gt;0,"Unresolved, linked stress missing",IF(OR(F17="",H17=""),"Unresolved, evidence missing",IF(AND(H17&gt;0,S17=""),"Unresolved, resource origin missing",IF(OR(ISNUMBER(SEARCH("No evidence",Q17)),ISNUMBER(SEARCH("Missing substantive",Q17)),ISNUMBER(SEARCH("Contested substantive",Q17))),"Unresolved, evidence missing",IF(AND(R17="Yes",S17&lt;&gt;"Public-welfare transfer"),"Unresolved, cross-ledger transfer missing",IF(I17&lt;0,"Failed under stress",IF(AND(J17&lt;&gt;"",J17&lt;0),"Conditional pass","Pass"))))))))))))))</f>
        <v/>
      </c>
      <c r="L17" s="32" t="str"/>
      <c r="M17" s="32" t="str"/>
      <c r="N17" s="32" t="str"/>
      <c r="O17" s="32" t="str"/>
      <c r="P17" s="32" t="str"/>
      <c r="Q17" s="17">
        <f>IF(A17="","",IF(P17="","No evidence ID",IFERROR(IF(VLOOKUP(P17,'Evidence Register'!A:M,11,FALSE)="Missing","Missing substantive evidence",IF(VLOOKUP(P17,'Evidence Register'!A:M,11,FALSE)="Contested","Contested substantive evidence",IF(VLOOKUP(P17,'Evidence Register'!A:M,10,FALSE)="Pinned","Pinned evidence",IF(VLOOKUP(P17,'Evidence Register'!A:M,10,FALSE)="Confidential-reviewable","Reviewable evidence","Pin issue: "&amp;VLOOKUP(P17,'Evidence Register'!A:M,10,FALSE))))),"Missing evidence ID")))</f>
        <v/>
      </c>
      <c r="R17" s="17">
        <f>IF(A17="","",IF(OR(H17="",H17=0),"",IF(S17="","Missing origin",IF(S17&lt;&gt;"Local Fiscal","Yes","No"))))</f>
        <v/>
      </c>
      <c r="S17" s="32" t="str"/>
      <c r="T17" s="32" t="str"/>
    </row>
    <row r="18" ht="15" customHeight="1">
      <c r="A18" s="15" t="str"/>
      <c r="B18" s="32" t="str"/>
      <c r="C18" s="32" t="str"/>
      <c r="D18" s="32" t="str"/>
      <c r="E18" s="32" t="str"/>
      <c r="F18" s="33" t="str"/>
      <c r="G18" s="33" t="str"/>
      <c r="H18" s="33" t="str"/>
      <c r="I18" s="31">
        <f>IF(OR(A18="",B18&lt;&gt;"Triggered",F18="",H18=""),"",H18-F18)</f>
        <v/>
      </c>
      <c r="J18" s="31">
        <f>IF(OR(A18="",B18&lt;&gt;"Triggered",G18="",H18=""),"",H18-G18)</f>
        <v/>
      </c>
      <c r="K18" s="17">
        <f>IF(A18="","",IF(B18="Not applicable","Not applicable",IF(B18="Not triggered","Not triggered",IF(B18="Unknown","Unresolved, evidence missing",IF(L18="Confidential-reviewable","Unresolved, confidential but reviewable",IF(L18="Contested","Unresolved, contested",IF(COUNTIFS('Stress Cases'!$K$4:$K$12,"Local Fiscal",'Stress Cases'!$L$4:$L$12,A18,'Stress Cases'!$I$4:$I$12,"Failed under stress")&gt;0,"Failed under linked stress case",IF(COUNTIFS('Stress Cases'!$K$4:$K$12,"Local Fiscal",'Stress Cases'!$L$4:$L$12,A18,'Stress Cases'!$I$4:$I$12,"Unresolved*")&gt;0,"Unresolved, linked stress missing",IF(OR(F18="",H18=""),"Unresolved, evidence missing",IF(AND(H18&gt;0,S18=""),"Unresolved, resource origin missing",IF(OR(ISNUMBER(SEARCH("No evidence",Q18)),ISNUMBER(SEARCH("Missing substantive",Q18)),ISNUMBER(SEARCH("Contested substantive",Q18))),"Unresolved, evidence missing",IF(AND(R18="Yes",S18&lt;&gt;"Public-welfare transfer"),"Unresolved, cross-ledger transfer missing",IF(I18&lt;0,"Failed under stress",IF(AND(J18&lt;&gt;"",J18&lt;0),"Conditional pass","Pass"))))))))))))))</f>
        <v/>
      </c>
      <c r="L18" s="32" t="str"/>
      <c r="M18" s="32" t="str"/>
      <c r="N18" s="32" t="str"/>
      <c r="O18" s="32" t="str"/>
      <c r="P18" s="32" t="str"/>
      <c r="Q18" s="17">
        <f>IF(A18="","",IF(P18="","No evidence ID",IFERROR(IF(VLOOKUP(P18,'Evidence Register'!A:M,11,FALSE)="Missing","Missing substantive evidence",IF(VLOOKUP(P18,'Evidence Register'!A:M,11,FALSE)="Contested","Contested substantive evidence",IF(VLOOKUP(P18,'Evidence Register'!A:M,10,FALSE)="Pinned","Pinned evidence",IF(VLOOKUP(P18,'Evidence Register'!A:M,10,FALSE)="Confidential-reviewable","Reviewable evidence","Pin issue: "&amp;VLOOKUP(P18,'Evidence Register'!A:M,10,FALSE))))),"Missing evidence ID")))</f>
        <v/>
      </c>
      <c r="R18" s="17">
        <f>IF(A18="","",IF(OR(H18="",H18=0),"",IF(S18="","Missing origin",IF(S18&lt;&gt;"Local Fiscal","Yes","No"))))</f>
        <v/>
      </c>
      <c r="S18" s="32" t="str"/>
      <c r="T18" s="32" t="str"/>
    </row>
    <row r="19" ht="15" customHeight="1">
      <c r="A19" s="15" t="str"/>
      <c r="B19" s="32" t="str"/>
      <c r="C19" s="32" t="str"/>
      <c r="D19" s="32" t="str"/>
      <c r="E19" s="32" t="str"/>
      <c r="F19" s="33" t="str"/>
      <c r="G19" s="33" t="str"/>
      <c r="H19" s="33" t="str"/>
      <c r="I19" s="31">
        <f>IF(OR(A19="",B19&lt;&gt;"Triggered",F19="",H19=""),"",H19-F19)</f>
        <v/>
      </c>
      <c r="J19" s="31">
        <f>IF(OR(A19="",B19&lt;&gt;"Triggered",G19="",H19=""),"",H19-G19)</f>
        <v/>
      </c>
      <c r="K19" s="17">
        <f>IF(A19="","",IF(B19="Not applicable","Not applicable",IF(B19="Not triggered","Not triggered",IF(B19="Unknown","Unresolved, evidence missing",IF(L19="Confidential-reviewable","Unresolved, confidential but reviewable",IF(L19="Contested","Unresolved, contested",IF(COUNTIFS('Stress Cases'!$K$4:$K$12,"Local Fiscal",'Stress Cases'!$L$4:$L$12,A19,'Stress Cases'!$I$4:$I$12,"Failed under stress")&gt;0,"Failed under linked stress case",IF(COUNTIFS('Stress Cases'!$K$4:$K$12,"Local Fiscal",'Stress Cases'!$L$4:$L$12,A19,'Stress Cases'!$I$4:$I$12,"Unresolved*")&gt;0,"Unresolved, linked stress missing",IF(OR(F19="",H19=""),"Unresolved, evidence missing",IF(AND(H19&gt;0,S19=""),"Unresolved, resource origin missing",IF(OR(ISNUMBER(SEARCH("No evidence",Q19)),ISNUMBER(SEARCH("Missing substantive",Q19)),ISNUMBER(SEARCH("Contested substantive",Q19))),"Unresolved, evidence missing",IF(AND(R19="Yes",S19&lt;&gt;"Public-welfare transfer"),"Unresolved, cross-ledger transfer missing",IF(I19&lt;0,"Failed under stress",IF(AND(J19&lt;&gt;"",J19&lt;0),"Conditional pass","Pass"))))))))))))))</f>
        <v/>
      </c>
      <c r="L19" s="32" t="str"/>
      <c r="M19" s="32" t="str"/>
      <c r="N19" s="32" t="str"/>
      <c r="O19" s="32" t="str"/>
      <c r="P19" s="32" t="str"/>
      <c r="Q19" s="17">
        <f>IF(A19="","",IF(P19="","No evidence ID",IFERROR(IF(VLOOKUP(P19,'Evidence Register'!A:M,11,FALSE)="Missing","Missing substantive evidence",IF(VLOOKUP(P19,'Evidence Register'!A:M,11,FALSE)="Contested","Contested substantive evidence",IF(VLOOKUP(P19,'Evidence Register'!A:M,10,FALSE)="Pinned","Pinned evidence",IF(VLOOKUP(P19,'Evidence Register'!A:M,10,FALSE)="Confidential-reviewable","Reviewable evidence","Pin issue: "&amp;VLOOKUP(P19,'Evidence Register'!A:M,10,FALSE))))),"Missing evidence ID")))</f>
        <v/>
      </c>
      <c r="R19" s="17">
        <f>IF(A19="","",IF(OR(H19="",H19=0),"",IF(S19="","Missing origin",IF(S19&lt;&gt;"Local Fiscal","Yes","No"))))</f>
        <v/>
      </c>
      <c r="S19" s="32" t="str"/>
      <c r="T19" s="32" t="str"/>
    </row>
    <row r="20" ht="15" customHeight="1">
      <c r="A20" s="15" t="str"/>
      <c r="B20" s="32" t="str"/>
      <c r="C20" s="32" t="str"/>
      <c r="D20" s="32" t="str"/>
      <c r="E20" s="32" t="str"/>
      <c r="F20" s="33" t="str"/>
      <c r="G20" s="33" t="str"/>
      <c r="H20" s="33" t="str"/>
      <c r="I20" s="31">
        <f>IF(OR(A20="",B20&lt;&gt;"Triggered",F20="",H20=""),"",H20-F20)</f>
        <v/>
      </c>
      <c r="J20" s="31">
        <f>IF(OR(A20="",B20&lt;&gt;"Triggered",G20="",H20=""),"",H20-G20)</f>
        <v/>
      </c>
      <c r="K20" s="17">
        <f>IF(A20="","",IF(B20="Not applicable","Not applicable",IF(B20="Not triggered","Not triggered",IF(B20="Unknown","Unresolved, evidence missing",IF(L20="Confidential-reviewable","Unresolved, confidential but reviewable",IF(L20="Contested","Unresolved, contested",IF(COUNTIFS('Stress Cases'!$K$4:$K$12,"Local Fiscal",'Stress Cases'!$L$4:$L$12,A20,'Stress Cases'!$I$4:$I$12,"Failed under stress")&gt;0,"Failed under linked stress case",IF(COUNTIFS('Stress Cases'!$K$4:$K$12,"Local Fiscal",'Stress Cases'!$L$4:$L$12,A20,'Stress Cases'!$I$4:$I$12,"Unresolved*")&gt;0,"Unresolved, linked stress missing",IF(OR(F20="",H20=""),"Unresolved, evidence missing",IF(AND(H20&gt;0,S20=""),"Unresolved, resource origin missing",IF(OR(ISNUMBER(SEARCH("No evidence",Q20)),ISNUMBER(SEARCH("Missing substantive",Q20)),ISNUMBER(SEARCH("Contested substantive",Q20))),"Unresolved, evidence missing",IF(AND(R20="Yes",S20&lt;&gt;"Public-welfare transfer"),"Unresolved, cross-ledger transfer missing",IF(I20&lt;0,"Failed under stress",IF(AND(J20&lt;&gt;"",J20&lt;0),"Conditional pass","Pass"))))))))))))))</f>
        <v/>
      </c>
      <c r="L20" s="32" t="str"/>
      <c r="M20" s="32" t="str"/>
      <c r="N20" s="32" t="str"/>
      <c r="O20" s="32" t="str"/>
      <c r="P20" s="32" t="str"/>
      <c r="Q20" s="17">
        <f>IF(A20="","",IF(P20="","No evidence ID",IFERROR(IF(VLOOKUP(P20,'Evidence Register'!A:M,11,FALSE)="Missing","Missing substantive evidence",IF(VLOOKUP(P20,'Evidence Register'!A:M,11,FALSE)="Contested","Contested substantive evidence",IF(VLOOKUP(P20,'Evidence Register'!A:M,10,FALSE)="Pinned","Pinned evidence",IF(VLOOKUP(P20,'Evidence Register'!A:M,10,FALSE)="Confidential-reviewable","Reviewable evidence","Pin issue: "&amp;VLOOKUP(P20,'Evidence Register'!A:M,10,FALSE))))),"Missing evidence ID")))</f>
        <v/>
      </c>
      <c r="R20" s="17">
        <f>IF(A20="","",IF(OR(H20="",H20=0),"",IF(S20="","Missing origin",IF(S20&lt;&gt;"Local Fiscal","Yes","No"))))</f>
        <v/>
      </c>
      <c r="S20" s="32" t="str"/>
      <c r="T20" s="32" t="str"/>
    </row>
    <row r="21" ht="15" customHeight="1">
      <c r="A21" s="15" t="str"/>
      <c r="B21" s="32" t="str"/>
      <c r="C21" s="32" t="str"/>
      <c r="D21" s="32" t="str"/>
      <c r="E21" s="32" t="str"/>
      <c r="F21" s="33" t="str"/>
      <c r="G21" s="33" t="str"/>
      <c r="H21" s="33" t="str"/>
      <c r="I21" s="31">
        <f>IF(OR(A21="",B21&lt;&gt;"Triggered",F21="",H21=""),"",H21-F21)</f>
        <v/>
      </c>
      <c r="J21" s="31">
        <f>IF(OR(A21="",B21&lt;&gt;"Triggered",G21="",H21=""),"",H21-G21)</f>
        <v/>
      </c>
      <c r="K21" s="17">
        <f>IF(A21="","",IF(B21="Not applicable","Not applicable",IF(B21="Not triggered","Not triggered",IF(B21="Unknown","Unresolved, evidence missing",IF(L21="Confidential-reviewable","Unresolved, confidential but reviewable",IF(L21="Contested","Unresolved, contested",IF(COUNTIFS('Stress Cases'!$K$4:$K$12,"Local Fiscal",'Stress Cases'!$L$4:$L$12,A21,'Stress Cases'!$I$4:$I$12,"Failed under stress")&gt;0,"Failed under linked stress case",IF(COUNTIFS('Stress Cases'!$K$4:$K$12,"Local Fiscal",'Stress Cases'!$L$4:$L$12,A21,'Stress Cases'!$I$4:$I$12,"Unresolved*")&gt;0,"Unresolved, linked stress missing",IF(OR(F21="",H21=""),"Unresolved, evidence missing",IF(AND(H21&gt;0,S21=""),"Unresolved, resource origin missing",IF(OR(ISNUMBER(SEARCH("No evidence",Q21)),ISNUMBER(SEARCH("Missing substantive",Q21)),ISNUMBER(SEARCH("Contested substantive",Q21))),"Unresolved, evidence missing",IF(AND(R21="Yes",S21&lt;&gt;"Public-welfare transfer"),"Unresolved, cross-ledger transfer missing",IF(I21&lt;0,"Failed under stress",IF(AND(J21&lt;&gt;"",J21&lt;0),"Conditional pass","Pass"))))))))))))))</f>
        <v/>
      </c>
      <c r="L21" s="32" t="str"/>
      <c r="M21" s="32" t="str"/>
      <c r="N21" s="32" t="str"/>
      <c r="O21" s="32" t="str"/>
      <c r="P21" s="32" t="str"/>
      <c r="Q21" s="17">
        <f>IF(A21="","",IF(P21="","No evidence ID",IFERROR(IF(VLOOKUP(P21,'Evidence Register'!A:M,11,FALSE)="Missing","Missing substantive evidence",IF(VLOOKUP(P21,'Evidence Register'!A:M,11,FALSE)="Contested","Contested substantive evidence",IF(VLOOKUP(P21,'Evidence Register'!A:M,10,FALSE)="Pinned","Pinned evidence",IF(VLOOKUP(P21,'Evidence Register'!A:M,10,FALSE)="Confidential-reviewable","Reviewable evidence","Pin issue: "&amp;VLOOKUP(P21,'Evidence Register'!A:M,10,FALSE))))),"Missing evidence ID")))</f>
        <v/>
      </c>
      <c r="R21" s="17">
        <f>IF(A21="","",IF(OR(H21="",H21=0),"",IF(S21="","Missing origin",IF(S21&lt;&gt;"Local Fiscal","Yes","No"))))</f>
        <v/>
      </c>
      <c r="S21" s="32" t="str"/>
      <c r="T21" s="32" t="str"/>
    </row>
    <row r="22" ht="39.59999847412109" customHeight="1">
      <c r="A22" s="28" t="inlineStr">
        <is>
          <t>Total / dashboard line</t>
        </is>
      </c>
      <c r="B22" s="28" t="str"/>
      <c r="C22" s="28" t="str"/>
      <c r="D22" s="28" t="str"/>
      <c r="E22" s="28" t="str"/>
      <c r="F22" s="34">
        <f>IF(COUNTIF(B4:B21,"Triggered")=0,"",SUM(F4:F21))</f>
        <v/>
      </c>
      <c r="G22" s="34">
        <f>IF(COUNTIF(B4:B21,"Triggered")=0,"",IF(COUNT(G4:G21)=0,"",SUM(G4:G21)))</f>
        <v/>
      </c>
      <c r="H22" s="34">
        <f>IF(COUNTIF(B4:B21,"Triggered")=0,"",SUM(H4:H21))</f>
        <v/>
      </c>
      <c r="I22" s="34">
        <f>IF(F22="","",H22-F22)</f>
        <v/>
      </c>
      <c r="J22" s="34">
        <f>IF(OR(G22="",H22=""),"",H22-G22)</f>
        <v/>
      </c>
      <c r="K22" s="30">
        <f>IF(COUNTIF(B4:B21,"Triggered")=0,"No entries yet",IF(COUNTIF(K4:K21,"*Failed*")&gt;0,"Failed under stress",IF(COUNTIF(K4:K21,"Unresolved*")&gt;0,"Unresolved",IF(COUNTIF(K4:K21,"Conditional pass")&gt;0,"Conditional pass",IF(I22&lt;0,"Failed under stress",IF(AND(J22&lt;&gt;"",J22&lt;0),"Conditional pass","Pass"))))))</f>
        <v/>
      </c>
      <c r="L22" s="28" t="str"/>
      <c r="M22" s="28" t="str"/>
      <c r="N22" s="28" t="str"/>
      <c r="O22" s="28" t="str"/>
      <c r="P22" s="28" t="str"/>
      <c r="Q22" s="30" t="str"/>
      <c r="R22" s="30">
        <f>IF(OR(COUNTIFS(B4:B21,"Triggered",R4:R21,"Yes")&gt;0,COUNTIFS(B4:B21,"Triggered",R4:R21,"Missing origin")&gt;0),"Flag: cross-ledger or origin issue",IF(OR(COUNTIFS(B4:B21,"Triggered",Q4:Q21,"Missing evidence ID")&gt;0,COUNTIFS(B4:B21,"Triggered",Q4:Q21,"Needs pin*")&gt;0,COUNTIFS(B4:B21,"Triggered",Q4:Q21,"No evidence ID")&gt;0),"Flag: evidence pin incomplete",""))</f>
        <v/>
      </c>
      <c r="S22" s="28" t="str"/>
      <c r="T22" s="28" t="str"/>
    </row>
    <row r="23" ht="15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</row>
    <row r="24" ht="15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</row>
  </sheetData>
  <sheetProtection selectLockedCells="0" selectUnlockedCells="1" sheet="1" objects="0" insertRows="0" insertHyperlinks="1" autoFilter="1" scenarios="0" formatColumns="0" deleteColumns="1" insertColumns="1" pivotTables="1" deleteRows="0" formatCells="1" formatRows="0" sort="1"/>
  <dataValidations count="5">
    <dataValidation sqref="B4:B21" showDropDown="0" showInputMessage="0" showErrorMessage="0" allowBlank="1" type="list">
      <formula1>"Triggered,Not triggered,Not applicable,Unknown"</formula1>
    </dataValidation>
    <dataValidation sqref="D4:D21" showDropDown="0" showInputMessage="0" showErrorMessage="0" allowBlank="1" type="list">
      <formula1>"Settled cash,Callable secured credit,Enforceable scoped promise,Unsecured promise,Narrative-only promise,Unaccredited performance claim,Strong / Medium / Proxy / Unknown"</formula1>
    </dataValidation>
    <dataValidation sqref="L4:L21" showDropDown="0" showInputMessage="0" showErrorMessage="0" allowBlank="1" type="list">
      <formula1>"Public,Confidential-reviewable,Proxy,Missing,Contested"</formula1>
    </dataValidation>
    <dataValidation sqref="P4:P21" showDropDown="0" showInputMessage="0" showErrorMessage="0" allowBlank="1" type="list">
      <formula1>"EV-001,EV-002,EV-003,EV-004,EV-005,EV-006,EV-007,EV-008,EV-009,EV-010,EV-011,EV-012,EV-013,EV-014,EV-015,EV-016,EV-017,EV-018,EV-019,EV-020,EV-021,EV-022,EV-023,EV-024,EV-025,EV-026,EV-027,EV-028,EV-029,EV-030,EV-031,EV-032,EV-033,EV-034,EV-035,EV-036,EV-037,EV-038,EV-039,EV-040,EV-041,EV-042,EV-043,EV-044,EV-045,EV-046,EV-047,EV-048,EV-049,EV-050,EV-051,EV-052,EV-053,EV-054,EV-055,EV-056,EV-057,EV-058,EV-059,EV-060"</formula1>
    </dataValidation>
    <dataValidation sqref="S4:S21" showDropDown="0" showInputMessage="0" showErrorMessage="0" allowBlank="1" type="list">
      <formula1>"Electric Ledger,RTO Capacity,Local Fiscal,Water Env,Credit Collateral,Distributional,Public-welfare transfer"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23.32999992370605" customWidth="1" min="1" max="1"/>
    <col width="16.67000007629395" customWidth="1" min="2" max="2"/>
    <col width="16.67000007629395" customWidth="1" min="3" max="3"/>
    <col width="16.67000007629395" customWidth="1" min="4" max="4"/>
    <col width="16.67000007629395" customWidth="1" min="5" max="5"/>
    <col width="13.32999992370605" customWidth="1" min="6" max="6"/>
    <col width="13.32999992370605" customWidth="1" min="7" max="7"/>
    <col width="13.32999992370605" customWidth="1" min="8" max="8"/>
    <col width="13.32999992370605" customWidth="1" min="9" max="9"/>
    <col width="13.32999992370605" customWidth="1" min="10" max="10"/>
    <col width="22.78000068664551" customWidth="1" min="11" max="11"/>
    <col width="22.78000068664551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33.59999847412109" customHeight="1">
      <c r="A1" s="4" t="inlineStr">
        <is>
          <t>Water Env</t>
        </is>
      </c>
      <c r="B1" s="4" t="str"/>
      <c r="C1" s="4" t="str"/>
      <c r="D1" s="4" t="str"/>
      <c r="E1" s="4" t="str"/>
      <c r="F1" s="4" t="str"/>
      <c r="G1" s="4" t="str"/>
      <c r="H1" s="4" t="str"/>
      <c r="I1" s="4" t="str"/>
      <c r="J1" s="4" t="str"/>
      <c r="K1" s="4" t="str"/>
      <c r="L1" s="4" t="str"/>
      <c r="M1" s="4" t="str"/>
      <c r="N1" s="4" t="str"/>
      <c r="O1" s="4" t="str"/>
      <c r="P1" s="4" t="str"/>
      <c r="Q1" s="4" t="str"/>
      <c r="R1" s="4" t="str"/>
      <c r="S1" s="4" t="str"/>
      <c r="T1" s="4" t="str"/>
    </row>
    <row r="2" ht="15" customHeight="1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</row>
    <row r="3" ht="39.59999847412109" customHeight="1">
      <c r="A3" s="8" t="inlineStr">
        <is>
          <t>Ledger line</t>
        </is>
      </c>
      <c r="B3" s="8" t="inlineStr">
        <is>
          <t>Applicability</t>
        </is>
      </c>
      <c r="C3" s="8" t="inlineStr">
        <is>
          <t>Causation category</t>
        </is>
      </c>
      <c r="D3" s="8" t="inlineStr">
        <is>
          <t>Evidence band</t>
        </is>
      </c>
      <c r="E3" s="8" t="inlineStr">
        <is>
          <t>Unit</t>
        </is>
      </c>
      <c r="F3" s="8" t="inlineStr">
        <is>
          <t>Base exposure</t>
        </is>
      </c>
      <c r="G3" s="8" t="inlineStr">
        <is>
          <t>Stress exposure</t>
        </is>
      </c>
      <c r="H3" s="8" t="inlineStr">
        <is>
          <t>Credited resources</t>
        </is>
      </c>
      <c r="I3" s="8" t="inlineStr">
        <is>
          <t>Base gap</t>
        </is>
      </c>
      <c r="J3" s="8" t="inlineStr">
        <is>
          <t>Stress gap</t>
        </is>
      </c>
      <c r="K3" s="8" t="inlineStr">
        <is>
          <t>Status</t>
        </is>
      </c>
      <c r="L3" s="8" t="inlineStr">
        <is>
          <t>Evidence status</t>
        </is>
      </c>
      <c r="M3" s="8" t="inlineStr">
        <is>
          <t>Residual claimant</t>
        </is>
      </c>
      <c r="N3" s="8" t="inlineStr">
        <is>
          <t>Source URL / docket</t>
        </is>
      </c>
      <c r="O3" s="8" t="inlineStr">
        <is>
          <t>Page / table / order pin</t>
        </is>
      </c>
      <c r="P3" s="8" t="inlineStr">
        <is>
          <t>Evidence ID</t>
        </is>
      </c>
      <c r="Q3" s="8" t="inlineStr">
        <is>
          <t>Evidence quality check</t>
        </is>
      </c>
      <c r="R3" s="8" t="inlineStr">
        <is>
          <t>Cross-ledger check</t>
        </is>
      </c>
      <c r="S3" s="8" t="inlineStr">
        <is>
          <t>Resource ledger of origin</t>
        </is>
      </c>
      <c r="T3" s="8" t="inlineStr">
        <is>
          <t>Notes</t>
        </is>
      </c>
    </row>
    <row r="4" ht="52.79999923706055" customHeight="1">
      <c r="A4" s="15" t="inlineStr">
        <is>
          <t>Water / wastewater debt</t>
        </is>
      </c>
      <c r="B4" s="32" t="inlineStr">
        <is>
          <t>Unknown</t>
        </is>
      </c>
      <c r="C4" s="32" t="inlineStr">
        <is>
          <t>Forecast-reliance</t>
        </is>
      </c>
      <c r="D4" s="32" t="str"/>
      <c r="E4" s="32" t="inlineStr">
        <is>
          <t>bond-term NPV</t>
        </is>
      </c>
      <c r="F4" s="33" t="str"/>
      <c r="G4" s="33" t="str"/>
      <c r="H4" s="33" t="str"/>
      <c r="I4" s="31">
        <f>IF(OR(A4="",B4&lt;&gt;"Triggered",F4="",H4=""),"",H4-F4)</f>
        <v/>
      </c>
      <c r="J4" s="31">
        <f>IF(OR(A4="",B4&lt;&gt;"Triggered",G4="",H4=""),"",H4-G4)</f>
        <v/>
      </c>
      <c r="K4" s="17">
        <f>IF(A4="","",IF(B4="Not applicable","Not applicable",IF(B4="Not triggered","Not triggered",IF(B4="Unknown","Unresolved, evidence missing",IF(L4="Confidential-reviewable","Unresolved, confidential but reviewable",IF(L4="Contested","Unresolved, contested",IF(COUNTIFS('Stress Cases'!$K$4:$K$12,"Water Env",'Stress Cases'!$L$4:$L$12,A4,'Stress Cases'!$I$4:$I$12,"Failed under stress")&gt;0,"Failed under linked stress case",IF(COUNTIFS('Stress Cases'!$K$4:$K$12,"Water Env",'Stress Cases'!$L$4:$L$12,A4,'Stress Cases'!$I$4:$I$12,"Unresolved*")&gt;0,"Unresolved, linked stress missing",IF(OR(F4="",H4=""),"Unresolved, evidence missing",IF(AND(H4&gt;0,S4=""),"Unresolved, resource origin missing",IF(OR(ISNUMBER(SEARCH("No evidence",Q4)),ISNUMBER(SEARCH("Missing substantive",Q4)),ISNUMBER(SEARCH("Contested substantive",Q4))),"Unresolved, evidence missing",IF(AND(R4="Yes",S4&lt;&gt;"Public-welfare transfer"),"Unresolved, cross-ledger transfer missing",IF(I4&lt;0,"Failed under stress",IF(AND(J4&lt;&gt;"",J4&lt;0),"Conditional pass","Pass"))))))))))))))</f>
        <v/>
      </c>
      <c r="L4" s="32" t="inlineStr">
        <is>
          <t>Missing</t>
        </is>
      </c>
      <c r="M4" s="32" t="str"/>
      <c r="N4" s="32" t="str"/>
      <c r="O4" s="32" t="str"/>
      <c r="P4" s="32" t="str"/>
      <c r="Q4" s="17">
        <f>IF(A4="","",IF(P4="","No evidence ID",IFERROR(IF(VLOOKUP(P4,'Evidence Register'!A:M,11,FALSE)="Missing","Missing substantive evidence",IF(VLOOKUP(P4,'Evidence Register'!A:M,11,FALSE)="Contested","Contested substantive evidence",IF(VLOOKUP(P4,'Evidence Register'!A:M,10,FALSE)="Pinned","Pinned evidence",IF(VLOOKUP(P4,'Evidence Register'!A:M,10,FALSE)="Confidential-reviewable","Reviewable evidence","Pin issue: "&amp;VLOOKUP(P4,'Evidence Register'!A:M,10,FALSE))))),"Missing evidence ID")))</f>
        <v/>
      </c>
      <c r="R4" s="17">
        <f>IF(A4="","",IF(OR(H4="",H4=0),"",IF(S4="","Missing origin",IF(S4&lt;&gt;"Water Env","Yes","No"))))</f>
        <v/>
      </c>
      <c r="S4" s="32" t="str"/>
      <c r="T4" s="32" t="str"/>
    </row>
    <row r="5" ht="52.79999923706055" customHeight="1">
      <c r="A5" s="15" t="inlineStr">
        <is>
          <t>Drought-year / withdrawal limit</t>
        </is>
      </c>
      <c r="B5" s="32" t="inlineStr">
        <is>
          <t>Unknown</t>
        </is>
      </c>
      <c r="C5" s="32" t="inlineStr">
        <is>
          <t>Permit-governed</t>
        </is>
      </c>
      <c r="D5" s="32" t="str"/>
      <c r="E5" s="32" t="inlineStr">
        <is>
          <t>non-monetized / $</t>
        </is>
      </c>
      <c r="F5" s="33" t="str"/>
      <c r="G5" s="33" t="str"/>
      <c r="H5" s="33" t="str"/>
      <c r="I5" s="31">
        <f>IF(OR(A5="",B5&lt;&gt;"Triggered",F5="",H5=""),"",H5-F5)</f>
        <v/>
      </c>
      <c r="J5" s="31">
        <f>IF(OR(A5="",B5&lt;&gt;"Triggered",G5="",H5=""),"",H5-G5)</f>
        <v/>
      </c>
      <c r="K5" s="17">
        <f>IF(A5="","",IF(B5="Not applicable","Not applicable",IF(B5="Not triggered","Not triggered",IF(B5="Unknown","Unresolved, evidence missing",IF(L5="Confidential-reviewable","Unresolved, confidential but reviewable",IF(L5="Contested","Unresolved, contested",IF(COUNTIFS('Stress Cases'!$K$4:$K$12,"Water Env",'Stress Cases'!$L$4:$L$12,A5,'Stress Cases'!$I$4:$I$12,"Failed under stress")&gt;0,"Failed under linked stress case",IF(COUNTIFS('Stress Cases'!$K$4:$K$12,"Water Env",'Stress Cases'!$L$4:$L$12,A5,'Stress Cases'!$I$4:$I$12,"Unresolved*")&gt;0,"Unresolved, linked stress missing",IF(OR(F5="",H5=""),"Unresolved, evidence missing",IF(AND(H5&gt;0,S5=""),"Unresolved, resource origin missing",IF(OR(ISNUMBER(SEARCH("No evidence",Q5)),ISNUMBER(SEARCH("Missing substantive",Q5)),ISNUMBER(SEARCH("Contested substantive",Q5))),"Unresolved, evidence missing",IF(AND(R5="Yes",S5&lt;&gt;"Public-welfare transfer"),"Unresolved, cross-ledger transfer missing",IF(I5&lt;0,"Failed under stress",IF(AND(J5&lt;&gt;"",J5&lt;0),"Conditional pass","Pass"))))))))))))))</f>
        <v/>
      </c>
      <c r="L5" s="32" t="inlineStr">
        <is>
          <t>Missing</t>
        </is>
      </c>
      <c r="M5" s="32" t="str"/>
      <c r="N5" s="32" t="str"/>
      <c r="O5" s="32" t="str"/>
      <c r="P5" s="32" t="str"/>
      <c r="Q5" s="17">
        <f>IF(A5="","",IF(P5="","No evidence ID",IFERROR(IF(VLOOKUP(P5,'Evidence Register'!A:M,11,FALSE)="Missing","Missing substantive evidence",IF(VLOOKUP(P5,'Evidence Register'!A:M,11,FALSE)="Contested","Contested substantive evidence",IF(VLOOKUP(P5,'Evidence Register'!A:M,10,FALSE)="Pinned","Pinned evidence",IF(VLOOKUP(P5,'Evidence Register'!A:M,10,FALSE)="Confidential-reviewable","Reviewable evidence","Pin issue: "&amp;VLOOKUP(P5,'Evidence Register'!A:M,10,FALSE))))),"Missing evidence ID")))</f>
        <v/>
      </c>
      <c r="R5" s="17">
        <f>IF(A5="","",IF(OR(H5="",H5=0),"",IF(S5="","Missing origin",IF(S5&lt;&gt;"Water Env","Yes","No"))))</f>
        <v/>
      </c>
      <c r="S5" s="32" t="str"/>
      <c r="T5" s="32" t="str"/>
    </row>
    <row r="6" ht="52.79999923706055" customHeight="1">
      <c r="A6" s="15" t="inlineStr">
        <is>
          <t>Backup generation emissions</t>
        </is>
      </c>
      <c r="B6" s="32" t="inlineStr">
        <is>
          <t>Unknown</t>
        </is>
      </c>
      <c r="C6" s="32" t="inlineStr">
        <is>
          <t>Permit-governed</t>
        </is>
      </c>
      <c r="D6" s="32" t="str"/>
      <c r="E6" s="32" t="inlineStr">
        <is>
          <t>permit / mitigation $</t>
        </is>
      </c>
      <c r="F6" s="33" t="str"/>
      <c r="G6" s="33" t="str"/>
      <c r="H6" s="33" t="str"/>
      <c r="I6" s="31">
        <f>IF(OR(A6="",B6&lt;&gt;"Triggered",F6="",H6=""),"",H6-F6)</f>
        <v/>
      </c>
      <c r="J6" s="31">
        <f>IF(OR(A6="",B6&lt;&gt;"Triggered",G6="",H6=""),"",H6-G6)</f>
        <v/>
      </c>
      <c r="K6" s="17">
        <f>IF(A6="","",IF(B6="Not applicable","Not applicable",IF(B6="Not triggered","Not triggered",IF(B6="Unknown","Unresolved, evidence missing",IF(L6="Confidential-reviewable","Unresolved, confidential but reviewable",IF(L6="Contested","Unresolved, contested",IF(COUNTIFS('Stress Cases'!$K$4:$K$12,"Water Env",'Stress Cases'!$L$4:$L$12,A6,'Stress Cases'!$I$4:$I$12,"Failed under stress")&gt;0,"Failed under linked stress case",IF(COUNTIFS('Stress Cases'!$K$4:$K$12,"Water Env",'Stress Cases'!$L$4:$L$12,A6,'Stress Cases'!$I$4:$I$12,"Unresolved*")&gt;0,"Unresolved, linked stress missing",IF(OR(F6="",H6=""),"Unresolved, evidence missing",IF(AND(H6&gt;0,S6=""),"Unresolved, resource origin missing",IF(OR(ISNUMBER(SEARCH("No evidence",Q6)),ISNUMBER(SEARCH("Missing substantive",Q6)),ISNUMBER(SEARCH("Contested substantive",Q6))),"Unresolved, evidence missing",IF(AND(R6="Yes",S6&lt;&gt;"Public-welfare transfer"),"Unresolved, cross-ledger transfer missing",IF(I6&lt;0,"Failed under stress",IF(AND(J6&lt;&gt;"",J6&lt;0),"Conditional pass","Pass"))))))))))))))</f>
        <v/>
      </c>
      <c r="L6" s="32" t="inlineStr">
        <is>
          <t>Missing</t>
        </is>
      </c>
      <c r="M6" s="32" t="str"/>
      <c r="N6" s="32" t="str"/>
      <c r="O6" s="32" t="str"/>
      <c r="P6" s="32" t="str"/>
      <c r="Q6" s="17">
        <f>IF(A6="","",IF(P6="","No evidence ID",IFERROR(IF(VLOOKUP(P6,'Evidence Register'!A:M,11,FALSE)="Missing","Missing substantive evidence",IF(VLOOKUP(P6,'Evidence Register'!A:M,11,FALSE)="Contested","Contested substantive evidence",IF(VLOOKUP(P6,'Evidence Register'!A:M,10,FALSE)="Pinned","Pinned evidence",IF(VLOOKUP(P6,'Evidence Register'!A:M,10,FALSE)="Confidential-reviewable","Reviewable evidence","Pin issue: "&amp;VLOOKUP(P6,'Evidence Register'!A:M,10,FALSE))))),"Missing evidence ID")))</f>
        <v/>
      </c>
      <c r="R6" s="17">
        <f>IF(A6="","",IF(OR(H6="",H6=0),"",IF(S6="","Missing origin",IF(S6&lt;&gt;"Water Env","Yes","No"))))</f>
        <v/>
      </c>
      <c r="S6" s="32" t="str"/>
      <c r="T6" s="32" t="str"/>
    </row>
    <row r="7" ht="52.79999923706055" customHeight="1">
      <c r="A7" s="15" t="inlineStr">
        <is>
          <t>Noise / land-use burden</t>
        </is>
      </c>
      <c r="B7" s="32" t="inlineStr">
        <is>
          <t>Unknown</t>
        </is>
      </c>
      <c r="C7" s="32" t="inlineStr">
        <is>
          <t>Non-monetized</t>
        </is>
      </c>
      <c r="D7" s="32" t="str"/>
      <c r="E7" s="32" t="inlineStr">
        <is>
          <t>mitigation / finding</t>
        </is>
      </c>
      <c r="F7" s="33" t="str"/>
      <c r="G7" s="33" t="str"/>
      <c r="H7" s="33" t="str"/>
      <c r="I7" s="31">
        <f>IF(OR(A7="",B7&lt;&gt;"Triggered",F7="",H7=""),"",H7-F7)</f>
        <v/>
      </c>
      <c r="J7" s="31">
        <f>IF(OR(A7="",B7&lt;&gt;"Triggered",G7="",H7=""),"",H7-G7)</f>
        <v/>
      </c>
      <c r="K7" s="17">
        <f>IF(A7="","",IF(B7="Not applicable","Not applicable",IF(B7="Not triggered","Not triggered",IF(B7="Unknown","Unresolved, evidence missing",IF(L7="Confidential-reviewable","Unresolved, confidential but reviewable",IF(L7="Contested","Unresolved, contested",IF(COUNTIFS('Stress Cases'!$K$4:$K$12,"Water Env",'Stress Cases'!$L$4:$L$12,A7,'Stress Cases'!$I$4:$I$12,"Failed under stress")&gt;0,"Failed under linked stress case",IF(COUNTIFS('Stress Cases'!$K$4:$K$12,"Water Env",'Stress Cases'!$L$4:$L$12,A7,'Stress Cases'!$I$4:$I$12,"Unresolved*")&gt;0,"Unresolved, linked stress missing",IF(OR(F7="",H7=""),"Unresolved, evidence missing",IF(AND(H7&gt;0,S7=""),"Unresolved, resource origin missing",IF(OR(ISNUMBER(SEARCH("No evidence",Q7)),ISNUMBER(SEARCH("Missing substantive",Q7)),ISNUMBER(SEARCH("Contested substantive",Q7))),"Unresolved, evidence missing",IF(AND(R7="Yes",S7&lt;&gt;"Public-welfare transfer"),"Unresolved, cross-ledger transfer missing",IF(I7&lt;0,"Failed under stress",IF(AND(J7&lt;&gt;"",J7&lt;0),"Conditional pass","Pass"))))))))))))))</f>
        <v/>
      </c>
      <c r="L7" s="32" t="inlineStr">
        <is>
          <t>Missing</t>
        </is>
      </c>
      <c r="M7" s="32" t="str"/>
      <c r="N7" s="32" t="str"/>
      <c r="O7" s="32" t="str"/>
      <c r="P7" s="32" t="str"/>
      <c r="Q7" s="17">
        <f>IF(A7="","",IF(P7="","No evidence ID",IFERROR(IF(VLOOKUP(P7,'Evidence Register'!A:M,11,FALSE)="Missing","Missing substantive evidence",IF(VLOOKUP(P7,'Evidence Register'!A:M,11,FALSE)="Contested","Contested substantive evidence",IF(VLOOKUP(P7,'Evidence Register'!A:M,10,FALSE)="Pinned","Pinned evidence",IF(VLOOKUP(P7,'Evidence Register'!A:M,10,FALSE)="Confidential-reviewable","Reviewable evidence","Pin issue: "&amp;VLOOKUP(P7,'Evidence Register'!A:M,10,FALSE))))),"Missing evidence ID")))</f>
        <v/>
      </c>
      <c r="R7" s="17">
        <f>IF(A7="","",IF(OR(H7="",H7=0),"",IF(S7="","Missing origin",IF(S7&lt;&gt;"Water Env","Yes","No"))))</f>
        <v/>
      </c>
      <c r="S7" s="32" t="str"/>
      <c r="T7" s="32" t="str"/>
    </row>
    <row r="8" ht="79.19999694824219" customHeight="1">
      <c r="A8" s="15" t="inlineStr">
        <is>
          <t>Permit compliance vs community settlement</t>
        </is>
      </c>
      <c r="B8" s="32" t="inlineStr">
        <is>
          <t>Unknown</t>
        </is>
      </c>
      <c r="C8" s="32" t="inlineStr">
        <is>
          <t>Permit-governed</t>
        </is>
      </c>
      <c r="D8" s="32" t="str"/>
      <c r="E8" s="32" t="inlineStr">
        <is>
          <t>finding / mitigation</t>
        </is>
      </c>
      <c r="F8" s="33" t="str"/>
      <c r="G8" s="33" t="str"/>
      <c r="H8" s="33" t="str"/>
      <c r="I8" s="31">
        <f>IF(OR(A8="",B8&lt;&gt;"Triggered",F8="",H8=""),"",H8-F8)</f>
        <v/>
      </c>
      <c r="J8" s="31">
        <f>IF(OR(A8="",B8&lt;&gt;"Triggered",G8="",H8=""),"",H8-G8)</f>
        <v/>
      </c>
      <c r="K8" s="17">
        <f>IF(A8="","",IF(B8="Not applicable","Not applicable",IF(B8="Not triggered","Not triggered",IF(B8="Unknown","Unresolved, evidence missing",IF(L8="Confidential-reviewable","Unresolved, confidential but reviewable",IF(L8="Contested","Unresolved, contested",IF(COUNTIFS('Stress Cases'!$K$4:$K$12,"Water Env",'Stress Cases'!$L$4:$L$12,A8,'Stress Cases'!$I$4:$I$12,"Failed under stress")&gt;0,"Failed under linked stress case",IF(COUNTIFS('Stress Cases'!$K$4:$K$12,"Water Env",'Stress Cases'!$L$4:$L$12,A8,'Stress Cases'!$I$4:$I$12,"Unresolved*")&gt;0,"Unresolved, linked stress missing",IF(OR(F8="",H8=""),"Unresolved, evidence missing",IF(AND(H8&gt;0,S8=""),"Unresolved, resource origin missing",IF(OR(ISNUMBER(SEARCH("No evidence",Q8)),ISNUMBER(SEARCH("Missing substantive",Q8)),ISNUMBER(SEARCH("Contested substantive",Q8))),"Unresolved, evidence missing",IF(AND(R8="Yes",S8&lt;&gt;"Public-welfare transfer"),"Unresolved, cross-ledger transfer missing",IF(I8&lt;0,"Failed under stress",IF(AND(J8&lt;&gt;"",J8&lt;0),"Conditional pass","Pass"))))))))))))))</f>
        <v/>
      </c>
      <c r="L8" s="32" t="inlineStr">
        <is>
          <t>Missing</t>
        </is>
      </c>
      <c r="M8" s="32" t="str"/>
      <c r="N8" s="32" t="str"/>
      <c r="O8" s="32" t="str"/>
      <c r="P8" s="32" t="str"/>
      <c r="Q8" s="17">
        <f>IF(A8="","",IF(P8="","No evidence ID",IFERROR(IF(VLOOKUP(P8,'Evidence Register'!A:M,11,FALSE)="Missing","Missing substantive evidence",IF(VLOOKUP(P8,'Evidence Register'!A:M,11,FALSE)="Contested","Contested substantive evidence",IF(VLOOKUP(P8,'Evidence Register'!A:M,10,FALSE)="Pinned","Pinned evidence",IF(VLOOKUP(P8,'Evidence Register'!A:M,10,FALSE)="Confidential-reviewable","Reviewable evidence","Pin issue: "&amp;VLOOKUP(P8,'Evidence Register'!A:M,10,FALSE))))),"Missing evidence ID")))</f>
        <v/>
      </c>
      <c r="R8" s="17">
        <f>IF(A8="","",IF(OR(H8="",H8=0),"",IF(S8="","Missing origin",IF(S8&lt;&gt;"Water Env","Yes","No"))))</f>
        <v/>
      </c>
      <c r="S8" s="32" t="str"/>
      <c r="T8" s="32" t="str"/>
    </row>
    <row r="9" ht="15" customHeight="1">
      <c r="A9" s="15" t="str"/>
      <c r="B9" s="32" t="str"/>
      <c r="C9" s="32" t="str"/>
      <c r="D9" s="32" t="str"/>
      <c r="E9" s="32" t="str"/>
      <c r="F9" s="33" t="str"/>
      <c r="G9" s="33" t="str"/>
      <c r="H9" s="33" t="str"/>
      <c r="I9" s="31">
        <f>IF(OR(A9="",B9&lt;&gt;"Triggered",F9="",H9=""),"",H9-F9)</f>
        <v/>
      </c>
      <c r="J9" s="31">
        <f>IF(OR(A9="",B9&lt;&gt;"Triggered",G9="",H9=""),"",H9-G9)</f>
        <v/>
      </c>
      <c r="K9" s="17">
        <f>IF(A9="","",IF(B9="Not applicable","Not applicable",IF(B9="Not triggered","Not triggered",IF(B9="Unknown","Unresolved, evidence missing",IF(L9="Confidential-reviewable","Unresolved, confidential but reviewable",IF(L9="Contested","Unresolved, contested",IF(COUNTIFS('Stress Cases'!$K$4:$K$12,"Water Env",'Stress Cases'!$L$4:$L$12,A9,'Stress Cases'!$I$4:$I$12,"Failed under stress")&gt;0,"Failed under linked stress case",IF(COUNTIFS('Stress Cases'!$K$4:$K$12,"Water Env",'Stress Cases'!$L$4:$L$12,A9,'Stress Cases'!$I$4:$I$12,"Unresolved*")&gt;0,"Unresolved, linked stress missing",IF(OR(F9="",H9=""),"Unresolved, evidence missing",IF(AND(H9&gt;0,S9=""),"Unresolved, resource origin missing",IF(OR(ISNUMBER(SEARCH("No evidence",Q9)),ISNUMBER(SEARCH("Missing substantive",Q9)),ISNUMBER(SEARCH("Contested substantive",Q9))),"Unresolved, evidence missing",IF(AND(R9="Yes",S9&lt;&gt;"Public-welfare transfer"),"Unresolved, cross-ledger transfer missing",IF(I9&lt;0,"Failed under stress",IF(AND(J9&lt;&gt;"",J9&lt;0),"Conditional pass","Pass"))))))))))))))</f>
        <v/>
      </c>
      <c r="L9" s="32" t="str"/>
      <c r="M9" s="32" t="str"/>
      <c r="N9" s="32" t="str"/>
      <c r="O9" s="32" t="str"/>
      <c r="P9" s="32" t="str"/>
      <c r="Q9" s="17">
        <f>IF(A9="","",IF(P9="","No evidence ID",IFERROR(IF(VLOOKUP(P9,'Evidence Register'!A:M,11,FALSE)="Missing","Missing substantive evidence",IF(VLOOKUP(P9,'Evidence Register'!A:M,11,FALSE)="Contested","Contested substantive evidence",IF(VLOOKUP(P9,'Evidence Register'!A:M,10,FALSE)="Pinned","Pinned evidence",IF(VLOOKUP(P9,'Evidence Register'!A:M,10,FALSE)="Confidential-reviewable","Reviewable evidence","Pin issue: "&amp;VLOOKUP(P9,'Evidence Register'!A:M,10,FALSE))))),"Missing evidence ID")))</f>
        <v/>
      </c>
      <c r="R9" s="17">
        <f>IF(A9="","",IF(OR(H9="",H9=0),"",IF(S9="","Missing origin",IF(S9&lt;&gt;"Water Env","Yes","No"))))</f>
        <v/>
      </c>
      <c r="S9" s="32" t="str"/>
      <c r="T9" s="32" t="str"/>
    </row>
    <row r="10" ht="15" customHeight="1">
      <c r="A10" s="15" t="str"/>
      <c r="B10" s="32" t="str"/>
      <c r="C10" s="32" t="str"/>
      <c r="D10" s="32" t="str"/>
      <c r="E10" s="32" t="str"/>
      <c r="F10" s="33" t="str"/>
      <c r="G10" s="33" t="str"/>
      <c r="H10" s="33" t="str"/>
      <c r="I10" s="31">
        <f>IF(OR(A10="",B10&lt;&gt;"Triggered",F10="",H10=""),"",H10-F10)</f>
        <v/>
      </c>
      <c r="J10" s="31">
        <f>IF(OR(A10="",B10&lt;&gt;"Triggered",G10="",H10=""),"",H10-G10)</f>
        <v/>
      </c>
      <c r="K10" s="17">
        <f>IF(A10="","",IF(B10="Not applicable","Not applicable",IF(B10="Not triggered","Not triggered",IF(B10="Unknown","Unresolved, evidence missing",IF(L10="Confidential-reviewable","Unresolved, confidential but reviewable",IF(L10="Contested","Unresolved, contested",IF(COUNTIFS('Stress Cases'!$K$4:$K$12,"Water Env",'Stress Cases'!$L$4:$L$12,A10,'Stress Cases'!$I$4:$I$12,"Failed under stress")&gt;0,"Failed under linked stress case",IF(COUNTIFS('Stress Cases'!$K$4:$K$12,"Water Env",'Stress Cases'!$L$4:$L$12,A10,'Stress Cases'!$I$4:$I$12,"Unresolved*")&gt;0,"Unresolved, linked stress missing",IF(OR(F10="",H10=""),"Unresolved, evidence missing",IF(AND(H10&gt;0,S10=""),"Unresolved, resource origin missing",IF(OR(ISNUMBER(SEARCH("No evidence",Q10)),ISNUMBER(SEARCH("Missing substantive",Q10)),ISNUMBER(SEARCH("Contested substantive",Q10))),"Unresolved, evidence missing",IF(AND(R10="Yes",S10&lt;&gt;"Public-welfare transfer"),"Unresolved, cross-ledger transfer missing",IF(I10&lt;0,"Failed under stress",IF(AND(J10&lt;&gt;"",J10&lt;0),"Conditional pass","Pass"))))))))))))))</f>
        <v/>
      </c>
      <c r="L10" s="32" t="str"/>
      <c r="M10" s="32" t="str"/>
      <c r="N10" s="32" t="str"/>
      <c r="O10" s="32" t="str"/>
      <c r="P10" s="32" t="str"/>
      <c r="Q10" s="17">
        <f>IF(A10="","",IF(P10="","No evidence ID",IFERROR(IF(VLOOKUP(P10,'Evidence Register'!A:M,11,FALSE)="Missing","Missing substantive evidence",IF(VLOOKUP(P10,'Evidence Register'!A:M,11,FALSE)="Contested","Contested substantive evidence",IF(VLOOKUP(P10,'Evidence Register'!A:M,10,FALSE)="Pinned","Pinned evidence",IF(VLOOKUP(P10,'Evidence Register'!A:M,10,FALSE)="Confidential-reviewable","Reviewable evidence","Pin issue: "&amp;VLOOKUP(P10,'Evidence Register'!A:M,10,FALSE))))),"Missing evidence ID")))</f>
        <v/>
      </c>
      <c r="R10" s="17">
        <f>IF(A10="","",IF(OR(H10="",H10=0),"",IF(S10="","Missing origin",IF(S10&lt;&gt;"Water Env","Yes","No"))))</f>
        <v/>
      </c>
      <c r="S10" s="32" t="str"/>
      <c r="T10" s="32" t="str"/>
    </row>
    <row r="11" ht="15" customHeight="1">
      <c r="A11" s="15" t="str"/>
      <c r="B11" s="32" t="str"/>
      <c r="C11" s="32" t="str"/>
      <c r="D11" s="32" t="str"/>
      <c r="E11" s="32" t="str"/>
      <c r="F11" s="33" t="str"/>
      <c r="G11" s="33" t="str"/>
      <c r="H11" s="33" t="str"/>
      <c r="I11" s="31">
        <f>IF(OR(A11="",B11&lt;&gt;"Triggered",F11="",H11=""),"",H11-F11)</f>
        <v/>
      </c>
      <c r="J11" s="31">
        <f>IF(OR(A11="",B11&lt;&gt;"Triggered",G11="",H11=""),"",H11-G11)</f>
        <v/>
      </c>
      <c r="K11" s="17">
        <f>IF(A11="","",IF(B11="Not applicable","Not applicable",IF(B11="Not triggered","Not triggered",IF(B11="Unknown","Unresolved, evidence missing",IF(L11="Confidential-reviewable","Unresolved, confidential but reviewable",IF(L11="Contested","Unresolved, contested",IF(COUNTIFS('Stress Cases'!$K$4:$K$12,"Water Env",'Stress Cases'!$L$4:$L$12,A11,'Stress Cases'!$I$4:$I$12,"Failed under stress")&gt;0,"Failed under linked stress case",IF(COUNTIFS('Stress Cases'!$K$4:$K$12,"Water Env",'Stress Cases'!$L$4:$L$12,A11,'Stress Cases'!$I$4:$I$12,"Unresolved*")&gt;0,"Unresolved, linked stress missing",IF(OR(F11="",H11=""),"Unresolved, evidence missing",IF(AND(H11&gt;0,S11=""),"Unresolved, resource origin missing",IF(OR(ISNUMBER(SEARCH("No evidence",Q11)),ISNUMBER(SEARCH("Missing substantive",Q11)),ISNUMBER(SEARCH("Contested substantive",Q11))),"Unresolved, evidence missing",IF(AND(R11="Yes",S11&lt;&gt;"Public-welfare transfer"),"Unresolved, cross-ledger transfer missing",IF(I11&lt;0,"Failed under stress",IF(AND(J11&lt;&gt;"",J11&lt;0),"Conditional pass","Pass"))))))))))))))</f>
        <v/>
      </c>
      <c r="L11" s="32" t="str"/>
      <c r="M11" s="32" t="str"/>
      <c r="N11" s="32" t="str"/>
      <c r="O11" s="32" t="str"/>
      <c r="P11" s="32" t="str"/>
      <c r="Q11" s="17">
        <f>IF(A11="","",IF(P11="","No evidence ID",IFERROR(IF(VLOOKUP(P11,'Evidence Register'!A:M,11,FALSE)="Missing","Missing substantive evidence",IF(VLOOKUP(P11,'Evidence Register'!A:M,11,FALSE)="Contested","Contested substantive evidence",IF(VLOOKUP(P11,'Evidence Register'!A:M,10,FALSE)="Pinned","Pinned evidence",IF(VLOOKUP(P11,'Evidence Register'!A:M,10,FALSE)="Confidential-reviewable","Reviewable evidence","Pin issue: "&amp;VLOOKUP(P11,'Evidence Register'!A:M,10,FALSE))))),"Missing evidence ID")))</f>
        <v/>
      </c>
      <c r="R11" s="17">
        <f>IF(A11="","",IF(OR(H11="",H11=0),"",IF(S11="","Missing origin",IF(S11&lt;&gt;"Water Env","Yes","No"))))</f>
        <v/>
      </c>
      <c r="S11" s="32" t="str"/>
      <c r="T11" s="32" t="str"/>
    </row>
    <row r="12" ht="15" customHeight="1">
      <c r="A12" s="15" t="str"/>
      <c r="B12" s="32" t="str"/>
      <c r="C12" s="32" t="str"/>
      <c r="D12" s="32" t="str"/>
      <c r="E12" s="32" t="str"/>
      <c r="F12" s="33" t="str"/>
      <c r="G12" s="33" t="str"/>
      <c r="H12" s="33" t="str"/>
      <c r="I12" s="31">
        <f>IF(OR(A12="",B12&lt;&gt;"Triggered",F12="",H12=""),"",H12-F12)</f>
        <v/>
      </c>
      <c r="J12" s="31">
        <f>IF(OR(A12="",B12&lt;&gt;"Triggered",G12="",H12=""),"",H12-G12)</f>
        <v/>
      </c>
      <c r="K12" s="17">
        <f>IF(A12="","",IF(B12="Not applicable","Not applicable",IF(B12="Not triggered","Not triggered",IF(B12="Unknown","Unresolved, evidence missing",IF(L12="Confidential-reviewable","Unresolved, confidential but reviewable",IF(L12="Contested","Unresolved, contested",IF(COUNTIFS('Stress Cases'!$K$4:$K$12,"Water Env",'Stress Cases'!$L$4:$L$12,A12,'Stress Cases'!$I$4:$I$12,"Failed under stress")&gt;0,"Failed under linked stress case",IF(COUNTIFS('Stress Cases'!$K$4:$K$12,"Water Env",'Stress Cases'!$L$4:$L$12,A12,'Stress Cases'!$I$4:$I$12,"Unresolved*")&gt;0,"Unresolved, linked stress missing",IF(OR(F12="",H12=""),"Unresolved, evidence missing",IF(AND(H12&gt;0,S12=""),"Unresolved, resource origin missing",IF(OR(ISNUMBER(SEARCH("No evidence",Q12)),ISNUMBER(SEARCH("Missing substantive",Q12)),ISNUMBER(SEARCH("Contested substantive",Q12))),"Unresolved, evidence missing",IF(AND(R12="Yes",S12&lt;&gt;"Public-welfare transfer"),"Unresolved, cross-ledger transfer missing",IF(I12&lt;0,"Failed under stress",IF(AND(J12&lt;&gt;"",J12&lt;0),"Conditional pass","Pass"))))))))))))))</f>
        <v/>
      </c>
      <c r="L12" s="32" t="str"/>
      <c r="M12" s="32" t="str"/>
      <c r="N12" s="32" t="str"/>
      <c r="O12" s="32" t="str"/>
      <c r="P12" s="32" t="str"/>
      <c r="Q12" s="17">
        <f>IF(A12="","",IF(P12="","No evidence ID",IFERROR(IF(VLOOKUP(P12,'Evidence Register'!A:M,11,FALSE)="Missing","Missing substantive evidence",IF(VLOOKUP(P12,'Evidence Register'!A:M,11,FALSE)="Contested","Contested substantive evidence",IF(VLOOKUP(P12,'Evidence Register'!A:M,10,FALSE)="Pinned","Pinned evidence",IF(VLOOKUP(P12,'Evidence Register'!A:M,10,FALSE)="Confidential-reviewable","Reviewable evidence","Pin issue: "&amp;VLOOKUP(P12,'Evidence Register'!A:M,10,FALSE))))),"Missing evidence ID")))</f>
        <v/>
      </c>
      <c r="R12" s="17">
        <f>IF(A12="","",IF(OR(H12="",H12=0),"",IF(S12="","Missing origin",IF(S12&lt;&gt;"Water Env","Yes","No"))))</f>
        <v/>
      </c>
      <c r="S12" s="32" t="str"/>
      <c r="T12" s="32" t="str"/>
    </row>
    <row r="13" ht="15" customHeight="1">
      <c r="A13" s="15" t="str"/>
      <c r="B13" s="32" t="str"/>
      <c r="C13" s="32" t="str"/>
      <c r="D13" s="32" t="str"/>
      <c r="E13" s="32" t="str"/>
      <c r="F13" s="33" t="str"/>
      <c r="G13" s="33" t="str"/>
      <c r="H13" s="33" t="str"/>
      <c r="I13" s="31">
        <f>IF(OR(A13="",B13&lt;&gt;"Triggered",F13="",H13=""),"",H13-F13)</f>
        <v/>
      </c>
      <c r="J13" s="31">
        <f>IF(OR(A13="",B13&lt;&gt;"Triggered",G13="",H13=""),"",H13-G13)</f>
        <v/>
      </c>
      <c r="K13" s="17">
        <f>IF(A13="","",IF(B13="Not applicable","Not applicable",IF(B13="Not triggered","Not triggered",IF(B13="Unknown","Unresolved, evidence missing",IF(L13="Confidential-reviewable","Unresolved, confidential but reviewable",IF(L13="Contested","Unresolved, contested",IF(COUNTIFS('Stress Cases'!$K$4:$K$12,"Water Env",'Stress Cases'!$L$4:$L$12,A13,'Stress Cases'!$I$4:$I$12,"Failed under stress")&gt;0,"Failed under linked stress case",IF(COUNTIFS('Stress Cases'!$K$4:$K$12,"Water Env",'Stress Cases'!$L$4:$L$12,A13,'Stress Cases'!$I$4:$I$12,"Unresolved*")&gt;0,"Unresolved, linked stress missing",IF(OR(F13="",H13=""),"Unresolved, evidence missing",IF(AND(H13&gt;0,S13=""),"Unresolved, resource origin missing",IF(OR(ISNUMBER(SEARCH("No evidence",Q13)),ISNUMBER(SEARCH("Missing substantive",Q13)),ISNUMBER(SEARCH("Contested substantive",Q13))),"Unresolved, evidence missing",IF(AND(R13="Yes",S13&lt;&gt;"Public-welfare transfer"),"Unresolved, cross-ledger transfer missing",IF(I13&lt;0,"Failed under stress",IF(AND(J13&lt;&gt;"",J13&lt;0),"Conditional pass","Pass"))))))))))))))</f>
        <v/>
      </c>
      <c r="L13" s="32" t="str"/>
      <c r="M13" s="32" t="str"/>
      <c r="N13" s="32" t="str"/>
      <c r="O13" s="32" t="str"/>
      <c r="P13" s="32" t="str"/>
      <c r="Q13" s="17">
        <f>IF(A13="","",IF(P13="","No evidence ID",IFERROR(IF(VLOOKUP(P13,'Evidence Register'!A:M,11,FALSE)="Missing","Missing substantive evidence",IF(VLOOKUP(P13,'Evidence Register'!A:M,11,FALSE)="Contested","Contested substantive evidence",IF(VLOOKUP(P13,'Evidence Register'!A:M,10,FALSE)="Pinned","Pinned evidence",IF(VLOOKUP(P13,'Evidence Register'!A:M,10,FALSE)="Confidential-reviewable","Reviewable evidence","Pin issue: "&amp;VLOOKUP(P13,'Evidence Register'!A:M,10,FALSE))))),"Missing evidence ID")))</f>
        <v/>
      </c>
      <c r="R13" s="17">
        <f>IF(A13="","",IF(OR(H13="",H13=0),"",IF(S13="","Missing origin",IF(S13&lt;&gt;"Water Env","Yes","No"))))</f>
        <v/>
      </c>
      <c r="S13" s="32" t="str"/>
      <c r="T13" s="32" t="str"/>
    </row>
    <row r="14" ht="15" customHeight="1">
      <c r="A14" s="15" t="str"/>
      <c r="B14" s="32" t="str"/>
      <c r="C14" s="32" t="str"/>
      <c r="D14" s="32" t="str"/>
      <c r="E14" s="32" t="str"/>
      <c r="F14" s="33" t="str"/>
      <c r="G14" s="33" t="str"/>
      <c r="H14" s="33" t="str"/>
      <c r="I14" s="31">
        <f>IF(OR(A14="",B14&lt;&gt;"Triggered",F14="",H14=""),"",H14-F14)</f>
        <v/>
      </c>
      <c r="J14" s="31">
        <f>IF(OR(A14="",B14&lt;&gt;"Triggered",G14="",H14=""),"",H14-G14)</f>
        <v/>
      </c>
      <c r="K14" s="17">
        <f>IF(A14="","",IF(B14="Not applicable","Not applicable",IF(B14="Not triggered","Not triggered",IF(B14="Unknown","Unresolved, evidence missing",IF(L14="Confidential-reviewable","Unresolved, confidential but reviewable",IF(L14="Contested","Unresolved, contested",IF(COUNTIFS('Stress Cases'!$K$4:$K$12,"Water Env",'Stress Cases'!$L$4:$L$12,A14,'Stress Cases'!$I$4:$I$12,"Failed under stress")&gt;0,"Failed under linked stress case",IF(COUNTIFS('Stress Cases'!$K$4:$K$12,"Water Env",'Stress Cases'!$L$4:$L$12,A14,'Stress Cases'!$I$4:$I$12,"Unresolved*")&gt;0,"Unresolved, linked stress missing",IF(OR(F14="",H14=""),"Unresolved, evidence missing",IF(AND(H14&gt;0,S14=""),"Unresolved, resource origin missing",IF(OR(ISNUMBER(SEARCH("No evidence",Q14)),ISNUMBER(SEARCH("Missing substantive",Q14)),ISNUMBER(SEARCH("Contested substantive",Q14))),"Unresolved, evidence missing",IF(AND(R14="Yes",S14&lt;&gt;"Public-welfare transfer"),"Unresolved, cross-ledger transfer missing",IF(I14&lt;0,"Failed under stress",IF(AND(J14&lt;&gt;"",J14&lt;0),"Conditional pass","Pass"))))))))))))))</f>
        <v/>
      </c>
      <c r="L14" s="32" t="str"/>
      <c r="M14" s="32" t="str"/>
      <c r="N14" s="32" t="str"/>
      <c r="O14" s="32" t="str"/>
      <c r="P14" s="32" t="str"/>
      <c r="Q14" s="17">
        <f>IF(A14="","",IF(P14="","No evidence ID",IFERROR(IF(VLOOKUP(P14,'Evidence Register'!A:M,11,FALSE)="Missing","Missing substantive evidence",IF(VLOOKUP(P14,'Evidence Register'!A:M,11,FALSE)="Contested","Contested substantive evidence",IF(VLOOKUP(P14,'Evidence Register'!A:M,10,FALSE)="Pinned","Pinned evidence",IF(VLOOKUP(P14,'Evidence Register'!A:M,10,FALSE)="Confidential-reviewable","Reviewable evidence","Pin issue: "&amp;VLOOKUP(P14,'Evidence Register'!A:M,10,FALSE))))),"Missing evidence ID")))</f>
        <v/>
      </c>
      <c r="R14" s="17">
        <f>IF(A14="","",IF(OR(H14="",H14=0),"",IF(S14="","Missing origin",IF(S14&lt;&gt;"Water Env","Yes","No"))))</f>
        <v/>
      </c>
      <c r="S14" s="32" t="str"/>
      <c r="T14" s="32" t="str"/>
    </row>
    <row r="15" ht="15" customHeight="1">
      <c r="A15" s="15" t="str"/>
      <c r="B15" s="32" t="str"/>
      <c r="C15" s="32" t="str"/>
      <c r="D15" s="32" t="str"/>
      <c r="E15" s="32" t="str"/>
      <c r="F15" s="33" t="str"/>
      <c r="G15" s="33" t="str"/>
      <c r="H15" s="33" t="str"/>
      <c r="I15" s="31">
        <f>IF(OR(A15="",B15&lt;&gt;"Triggered",F15="",H15=""),"",H15-F15)</f>
        <v/>
      </c>
      <c r="J15" s="31">
        <f>IF(OR(A15="",B15&lt;&gt;"Triggered",G15="",H15=""),"",H15-G15)</f>
        <v/>
      </c>
      <c r="K15" s="17">
        <f>IF(A15="","",IF(B15="Not applicable","Not applicable",IF(B15="Not triggered","Not triggered",IF(B15="Unknown","Unresolved, evidence missing",IF(L15="Confidential-reviewable","Unresolved, confidential but reviewable",IF(L15="Contested","Unresolved, contested",IF(COUNTIFS('Stress Cases'!$K$4:$K$12,"Water Env",'Stress Cases'!$L$4:$L$12,A15,'Stress Cases'!$I$4:$I$12,"Failed under stress")&gt;0,"Failed under linked stress case",IF(COUNTIFS('Stress Cases'!$K$4:$K$12,"Water Env",'Stress Cases'!$L$4:$L$12,A15,'Stress Cases'!$I$4:$I$12,"Unresolved*")&gt;0,"Unresolved, linked stress missing",IF(OR(F15="",H15=""),"Unresolved, evidence missing",IF(AND(H15&gt;0,S15=""),"Unresolved, resource origin missing",IF(OR(ISNUMBER(SEARCH("No evidence",Q15)),ISNUMBER(SEARCH("Missing substantive",Q15)),ISNUMBER(SEARCH("Contested substantive",Q15))),"Unresolved, evidence missing",IF(AND(R15="Yes",S15&lt;&gt;"Public-welfare transfer"),"Unresolved, cross-ledger transfer missing",IF(I15&lt;0,"Failed under stress",IF(AND(J15&lt;&gt;"",J15&lt;0),"Conditional pass","Pass"))))))))))))))</f>
        <v/>
      </c>
      <c r="L15" s="32" t="str"/>
      <c r="M15" s="32" t="str"/>
      <c r="N15" s="32" t="str"/>
      <c r="O15" s="32" t="str"/>
      <c r="P15" s="32" t="str"/>
      <c r="Q15" s="17">
        <f>IF(A15="","",IF(P15="","No evidence ID",IFERROR(IF(VLOOKUP(P15,'Evidence Register'!A:M,11,FALSE)="Missing","Missing substantive evidence",IF(VLOOKUP(P15,'Evidence Register'!A:M,11,FALSE)="Contested","Contested substantive evidence",IF(VLOOKUP(P15,'Evidence Register'!A:M,10,FALSE)="Pinned","Pinned evidence",IF(VLOOKUP(P15,'Evidence Register'!A:M,10,FALSE)="Confidential-reviewable","Reviewable evidence","Pin issue: "&amp;VLOOKUP(P15,'Evidence Register'!A:M,10,FALSE))))),"Missing evidence ID")))</f>
        <v/>
      </c>
      <c r="R15" s="17">
        <f>IF(A15="","",IF(OR(H15="",H15=0),"",IF(S15="","Missing origin",IF(S15&lt;&gt;"Water Env","Yes","No"))))</f>
        <v/>
      </c>
      <c r="S15" s="32" t="str"/>
      <c r="T15" s="32" t="str"/>
    </row>
    <row r="16" ht="15" customHeight="1">
      <c r="A16" s="15" t="str"/>
      <c r="B16" s="32" t="str"/>
      <c r="C16" s="32" t="str"/>
      <c r="D16" s="32" t="str"/>
      <c r="E16" s="32" t="str"/>
      <c r="F16" s="33" t="str"/>
      <c r="G16" s="33" t="str"/>
      <c r="H16" s="33" t="str"/>
      <c r="I16" s="31">
        <f>IF(OR(A16="",B16&lt;&gt;"Triggered",F16="",H16=""),"",H16-F16)</f>
        <v/>
      </c>
      <c r="J16" s="31">
        <f>IF(OR(A16="",B16&lt;&gt;"Triggered",G16="",H16=""),"",H16-G16)</f>
        <v/>
      </c>
      <c r="K16" s="17">
        <f>IF(A16="","",IF(B16="Not applicable","Not applicable",IF(B16="Not triggered","Not triggered",IF(B16="Unknown","Unresolved, evidence missing",IF(L16="Confidential-reviewable","Unresolved, confidential but reviewable",IF(L16="Contested","Unresolved, contested",IF(COUNTIFS('Stress Cases'!$K$4:$K$12,"Water Env",'Stress Cases'!$L$4:$L$12,A16,'Stress Cases'!$I$4:$I$12,"Failed under stress")&gt;0,"Failed under linked stress case",IF(COUNTIFS('Stress Cases'!$K$4:$K$12,"Water Env",'Stress Cases'!$L$4:$L$12,A16,'Stress Cases'!$I$4:$I$12,"Unresolved*")&gt;0,"Unresolved, linked stress missing",IF(OR(F16="",H16=""),"Unresolved, evidence missing",IF(AND(H16&gt;0,S16=""),"Unresolved, resource origin missing",IF(OR(ISNUMBER(SEARCH("No evidence",Q16)),ISNUMBER(SEARCH("Missing substantive",Q16)),ISNUMBER(SEARCH("Contested substantive",Q16))),"Unresolved, evidence missing",IF(AND(R16="Yes",S16&lt;&gt;"Public-welfare transfer"),"Unresolved, cross-ledger transfer missing",IF(I16&lt;0,"Failed under stress",IF(AND(J16&lt;&gt;"",J16&lt;0),"Conditional pass","Pass"))))))))))))))</f>
        <v/>
      </c>
      <c r="L16" s="32" t="str"/>
      <c r="M16" s="32" t="str"/>
      <c r="N16" s="32" t="str"/>
      <c r="O16" s="32" t="str"/>
      <c r="P16" s="32" t="str"/>
      <c r="Q16" s="17">
        <f>IF(A16="","",IF(P16="","No evidence ID",IFERROR(IF(VLOOKUP(P16,'Evidence Register'!A:M,11,FALSE)="Missing","Missing substantive evidence",IF(VLOOKUP(P16,'Evidence Register'!A:M,11,FALSE)="Contested","Contested substantive evidence",IF(VLOOKUP(P16,'Evidence Register'!A:M,10,FALSE)="Pinned","Pinned evidence",IF(VLOOKUP(P16,'Evidence Register'!A:M,10,FALSE)="Confidential-reviewable","Reviewable evidence","Pin issue: "&amp;VLOOKUP(P16,'Evidence Register'!A:M,10,FALSE))))),"Missing evidence ID")))</f>
        <v/>
      </c>
      <c r="R16" s="17">
        <f>IF(A16="","",IF(OR(H16="",H16=0),"",IF(S16="","Missing origin",IF(S16&lt;&gt;"Water Env","Yes","No"))))</f>
        <v/>
      </c>
      <c r="S16" s="32" t="str"/>
      <c r="T16" s="32" t="str"/>
    </row>
    <row r="17" ht="15" customHeight="1">
      <c r="A17" s="15" t="str"/>
      <c r="B17" s="32" t="str"/>
      <c r="C17" s="32" t="str"/>
      <c r="D17" s="32" t="str"/>
      <c r="E17" s="32" t="str"/>
      <c r="F17" s="33" t="str"/>
      <c r="G17" s="33" t="str"/>
      <c r="H17" s="33" t="str"/>
      <c r="I17" s="31">
        <f>IF(OR(A17="",B17&lt;&gt;"Triggered",F17="",H17=""),"",H17-F17)</f>
        <v/>
      </c>
      <c r="J17" s="31">
        <f>IF(OR(A17="",B17&lt;&gt;"Triggered",G17="",H17=""),"",H17-G17)</f>
        <v/>
      </c>
      <c r="K17" s="17">
        <f>IF(A17="","",IF(B17="Not applicable","Not applicable",IF(B17="Not triggered","Not triggered",IF(B17="Unknown","Unresolved, evidence missing",IF(L17="Confidential-reviewable","Unresolved, confidential but reviewable",IF(L17="Contested","Unresolved, contested",IF(COUNTIFS('Stress Cases'!$K$4:$K$12,"Water Env",'Stress Cases'!$L$4:$L$12,A17,'Stress Cases'!$I$4:$I$12,"Failed under stress")&gt;0,"Failed under linked stress case",IF(COUNTIFS('Stress Cases'!$K$4:$K$12,"Water Env",'Stress Cases'!$L$4:$L$12,A17,'Stress Cases'!$I$4:$I$12,"Unresolved*")&gt;0,"Unresolved, linked stress missing",IF(OR(F17="",H17=""),"Unresolved, evidence missing",IF(AND(H17&gt;0,S17=""),"Unresolved, resource origin missing",IF(OR(ISNUMBER(SEARCH("No evidence",Q17)),ISNUMBER(SEARCH("Missing substantive",Q17)),ISNUMBER(SEARCH("Contested substantive",Q17))),"Unresolved, evidence missing",IF(AND(R17="Yes",S17&lt;&gt;"Public-welfare transfer"),"Unresolved, cross-ledger transfer missing",IF(I17&lt;0,"Failed under stress",IF(AND(J17&lt;&gt;"",J17&lt;0),"Conditional pass","Pass"))))))))))))))</f>
        <v/>
      </c>
      <c r="L17" s="32" t="str"/>
      <c r="M17" s="32" t="str"/>
      <c r="N17" s="32" t="str"/>
      <c r="O17" s="32" t="str"/>
      <c r="P17" s="32" t="str"/>
      <c r="Q17" s="17">
        <f>IF(A17="","",IF(P17="","No evidence ID",IFERROR(IF(VLOOKUP(P17,'Evidence Register'!A:M,11,FALSE)="Missing","Missing substantive evidence",IF(VLOOKUP(P17,'Evidence Register'!A:M,11,FALSE)="Contested","Contested substantive evidence",IF(VLOOKUP(P17,'Evidence Register'!A:M,10,FALSE)="Pinned","Pinned evidence",IF(VLOOKUP(P17,'Evidence Register'!A:M,10,FALSE)="Confidential-reviewable","Reviewable evidence","Pin issue: "&amp;VLOOKUP(P17,'Evidence Register'!A:M,10,FALSE))))),"Missing evidence ID")))</f>
        <v/>
      </c>
      <c r="R17" s="17">
        <f>IF(A17="","",IF(OR(H17="",H17=0),"",IF(S17="","Missing origin",IF(S17&lt;&gt;"Water Env","Yes","No"))))</f>
        <v/>
      </c>
      <c r="S17" s="32" t="str"/>
      <c r="T17" s="32" t="str"/>
    </row>
    <row r="18" ht="15" customHeight="1">
      <c r="A18" s="15" t="str"/>
      <c r="B18" s="32" t="str"/>
      <c r="C18" s="32" t="str"/>
      <c r="D18" s="32" t="str"/>
      <c r="E18" s="32" t="str"/>
      <c r="F18" s="33" t="str"/>
      <c r="G18" s="33" t="str"/>
      <c r="H18" s="33" t="str"/>
      <c r="I18" s="31">
        <f>IF(OR(A18="",B18&lt;&gt;"Triggered",F18="",H18=""),"",H18-F18)</f>
        <v/>
      </c>
      <c r="J18" s="31">
        <f>IF(OR(A18="",B18&lt;&gt;"Triggered",G18="",H18=""),"",H18-G18)</f>
        <v/>
      </c>
      <c r="K18" s="17">
        <f>IF(A18="","",IF(B18="Not applicable","Not applicable",IF(B18="Not triggered","Not triggered",IF(B18="Unknown","Unresolved, evidence missing",IF(L18="Confidential-reviewable","Unresolved, confidential but reviewable",IF(L18="Contested","Unresolved, contested",IF(COUNTIFS('Stress Cases'!$K$4:$K$12,"Water Env",'Stress Cases'!$L$4:$L$12,A18,'Stress Cases'!$I$4:$I$12,"Failed under stress")&gt;0,"Failed under linked stress case",IF(COUNTIFS('Stress Cases'!$K$4:$K$12,"Water Env",'Stress Cases'!$L$4:$L$12,A18,'Stress Cases'!$I$4:$I$12,"Unresolved*")&gt;0,"Unresolved, linked stress missing",IF(OR(F18="",H18=""),"Unresolved, evidence missing",IF(AND(H18&gt;0,S18=""),"Unresolved, resource origin missing",IF(OR(ISNUMBER(SEARCH("No evidence",Q18)),ISNUMBER(SEARCH("Missing substantive",Q18)),ISNUMBER(SEARCH("Contested substantive",Q18))),"Unresolved, evidence missing",IF(AND(R18="Yes",S18&lt;&gt;"Public-welfare transfer"),"Unresolved, cross-ledger transfer missing",IF(I18&lt;0,"Failed under stress",IF(AND(J18&lt;&gt;"",J18&lt;0),"Conditional pass","Pass"))))))))))))))</f>
        <v/>
      </c>
      <c r="L18" s="32" t="str"/>
      <c r="M18" s="32" t="str"/>
      <c r="N18" s="32" t="str"/>
      <c r="O18" s="32" t="str"/>
      <c r="P18" s="32" t="str"/>
      <c r="Q18" s="17">
        <f>IF(A18="","",IF(P18="","No evidence ID",IFERROR(IF(VLOOKUP(P18,'Evidence Register'!A:M,11,FALSE)="Missing","Missing substantive evidence",IF(VLOOKUP(P18,'Evidence Register'!A:M,11,FALSE)="Contested","Contested substantive evidence",IF(VLOOKUP(P18,'Evidence Register'!A:M,10,FALSE)="Pinned","Pinned evidence",IF(VLOOKUP(P18,'Evidence Register'!A:M,10,FALSE)="Confidential-reviewable","Reviewable evidence","Pin issue: "&amp;VLOOKUP(P18,'Evidence Register'!A:M,10,FALSE))))),"Missing evidence ID")))</f>
        <v/>
      </c>
      <c r="R18" s="17">
        <f>IF(A18="","",IF(OR(H18="",H18=0),"",IF(S18="","Missing origin",IF(S18&lt;&gt;"Water Env","Yes","No"))))</f>
        <v/>
      </c>
      <c r="S18" s="32" t="str"/>
      <c r="T18" s="32" t="str"/>
    </row>
    <row r="19" ht="15" customHeight="1">
      <c r="A19" s="15" t="str"/>
      <c r="B19" s="32" t="str"/>
      <c r="C19" s="32" t="str"/>
      <c r="D19" s="32" t="str"/>
      <c r="E19" s="32" t="str"/>
      <c r="F19" s="33" t="str"/>
      <c r="G19" s="33" t="str"/>
      <c r="H19" s="33" t="str"/>
      <c r="I19" s="31">
        <f>IF(OR(A19="",B19&lt;&gt;"Triggered",F19="",H19=""),"",H19-F19)</f>
        <v/>
      </c>
      <c r="J19" s="31">
        <f>IF(OR(A19="",B19&lt;&gt;"Triggered",G19="",H19=""),"",H19-G19)</f>
        <v/>
      </c>
      <c r="K19" s="17">
        <f>IF(A19="","",IF(B19="Not applicable","Not applicable",IF(B19="Not triggered","Not triggered",IF(B19="Unknown","Unresolved, evidence missing",IF(L19="Confidential-reviewable","Unresolved, confidential but reviewable",IF(L19="Contested","Unresolved, contested",IF(COUNTIFS('Stress Cases'!$K$4:$K$12,"Water Env",'Stress Cases'!$L$4:$L$12,A19,'Stress Cases'!$I$4:$I$12,"Failed under stress")&gt;0,"Failed under linked stress case",IF(COUNTIFS('Stress Cases'!$K$4:$K$12,"Water Env",'Stress Cases'!$L$4:$L$12,A19,'Stress Cases'!$I$4:$I$12,"Unresolved*")&gt;0,"Unresolved, linked stress missing",IF(OR(F19="",H19=""),"Unresolved, evidence missing",IF(AND(H19&gt;0,S19=""),"Unresolved, resource origin missing",IF(OR(ISNUMBER(SEARCH("No evidence",Q19)),ISNUMBER(SEARCH("Missing substantive",Q19)),ISNUMBER(SEARCH("Contested substantive",Q19))),"Unresolved, evidence missing",IF(AND(R19="Yes",S19&lt;&gt;"Public-welfare transfer"),"Unresolved, cross-ledger transfer missing",IF(I19&lt;0,"Failed under stress",IF(AND(J19&lt;&gt;"",J19&lt;0),"Conditional pass","Pass"))))))))))))))</f>
        <v/>
      </c>
      <c r="L19" s="32" t="str"/>
      <c r="M19" s="32" t="str"/>
      <c r="N19" s="32" t="str"/>
      <c r="O19" s="32" t="str"/>
      <c r="P19" s="32" t="str"/>
      <c r="Q19" s="17">
        <f>IF(A19="","",IF(P19="","No evidence ID",IFERROR(IF(VLOOKUP(P19,'Evidence Register'!A:M,11,FALSE)="Missing","Missing substantive evidence",IF(VLOOKUP(P19,'Evidence Register'!A:M,11,FALSE)="Contested","Contested substantive evidence",IF(VLOOKUP(P19,'Evidence Register'!A:M,10,FALSE)="Pinned","Pinned evidence",IF(VLOOKUP(P19,'Evidence Register'!A:M,10,FALSE)="Confidential-reviewable","Reviewable evidence","Pin issue: "&amp;VLOOKUP(P19,'Evidence Register'!A:M,10,FALSE))))),"Missing evidence ID")))</f>
        <v/>
      </c>
      <c r="R19" s="17">
        <f>IF(A19="","",IF(OR(H19="",H19=0),"",IF(S19="","Missing origin",IF(S19&lt;&gt;"Water Env","Yes","No"))))</f>
        <v/>
      </c>
      <c r="S19" s="32" t="str"/>
      <c r="T19" s="32" t="str"/>
    </row>
    <row r="20" ht="15" customHeight="1">
      <c r="A20" s="15" t="str"/>
      <c r="B20" s="32" t="str"/>
      <c r="C20" s="32" t="str"/>
      <c r="D20" s="32" t="str"/>
      <c r="E20" s="32" t="str"/>
      <c r="F20" s="33" t="str"/>
      <c r="G20" s="33" t="str"/>
      <c r="H20" s="33" t="str"/>
      <c r="I20" s="31">
        <f>IF(OR(A20="",B20&lt;&gt;"Triggered",F20="",H20=""),"",H20-F20)</f>
        <v/>
      </c>
      <c r="J20" s="31">
        <f>IF(OR(A20="",B20&lt;&gt;"Triggered",G20="",H20=""),"",H20-G20)</f>
        <v/>
      </c>
      <c r="K20" s="17">
        <f>IF(A20="","",IF(B20="Not applicable","Not applicable",IF(B20="Not triggered","Not triggered",IF(B20="Unknown","Unresolved, evidence missing",IF(L20="Confidential-reviewable","Unresolved, confidential but reviewable",IF(L20="Contested","Unresolved, contested",IF(COUNTIFS('Stress Cases'!$K$4:$K$12,"Water Env",'Stress Cases'!$L$4:$L$12,A20,'Stress Cases'!$I$4:$I$12,"Failed under stress")&gt;0,"Failed under linked stress case",IF(COUNTIFS('Stress Cases'!$K$4:$K$12,"Water Env",'Stress Cases'!$L$4:$L$12,A20,'Stress Cases'!$I$4:$I$12,"Unresolved*")&gt;0,"Unresolved, linked stress missing",IF(OR(F20="",H20=""),"Unresolved, evidence missing",IF(AND(H20&gt;0,S20=""),"Unresolved, resource origin missing",IF(OR(ISNUMBER(SEARCH("No evidence",Q20)),ISNUMBER(SEARCH("Missing substantive",Q20)),ISNUMBER(SEARCH("Contested substantive",Q20))),"Unresolved, evidence missing",IF(AND(R20="Yes",S20&lt;&gt;"Public-welfare transfer"),"Unresolved, cross-ledger transfer missing",IF(I20&lt;0,"Failed under stress",IF(AND(J20&lt;&gt;"",J20&lt;0),"Conditional pass","Pass"))))))))))))))</f>
        <v/>
      </c>
      <c r="L20" s="32" t="str"/>
      <c r="M20" s="32" t="str"/>
      <c r="N20" s="32" t="str"/>
      <c r="O20" s="32" t="str"/>
      <c r="P20" s="32" t="str"/>
      <c r="Q20" s="17">
        <f>IF(A20="","",IF(P20="","No evidence ID",IFERROR(IF(VLOOKUP(P20,'Evidence Register'!A:M,11,FALSE)="Missing","Missing substantive evidence",IF(VLOOKUP(P20,'Evidence Register'!A:M,11,FALSE)="Contested","Contested substantive evidence",IF(VLOOKUP(P20,'Evidence Register'!A:M,10,FALSE)="Pinned","Pinned evidence",IF(VLOOKUP(P20,'Evidence Register'!A:M,10,FALSE)="Confidential-reviewable","Reviewable evidence","Pin issue: "&amp;VLOOKUP(P20,'Evidence Register'!A:M,10,FALSE))))),"Missing evidence ID")))</f>
        <v/>
      </c>
      <c r="R20" s="17">
        <f>IF(A20="","",IF(OR(H20="",H20=0),"",IF(S20="","Missing origin",IF(S20&lt;&gt;"Water Env","Yes","No"))))</f>
        <v/>
      </c>
      <c r="S20" s="32" t="str"/>
      <c r="T20" s="32" t="str"/>
    </row>
    <row r="21" ht="15" customHeight="1">
      <c r="A21" s="15" t="str"/>
      <c r="B21" s="32" t="str"/>
      <c r="C21" s="32" t="str"/>
      <c r="D21" s="32" t="str"/>
      <c r="E21" s="32" t="str"/>
      <c r="F21" s="33" t="str"/>
      <c r="G21" s="33" t="str"/>
      <c r="H21" s="33" t="str"/>
      <c r="I21" s="31">
        <f>IF(OR(A21="",B21&lt;&gt;"Triggered",F21="",H21=""),"",H21-F21)</f>
        <v/>
      </c>
      <c r="J21" s="31">
        <f>IF(OR(A21="",B21&lt;&gt;"Triggered",G21="",H21=""),"",H21-G21)</f>
        <v/>
      </c>
      <c r="K21" s="17">
        <f>IF(A21="","",IF(B21="Not applicable","Not applicable",IF(B21="Not triggered","Not triggered",IF(B21="Unknown","Unresolved, evidence missing",IF(L21="Confidential-reviewable","Unresolved, confidential but reviewable",IF(L21="Contested","Unresolved, contested",IF(COUNTIFS('Stress Cases'!$K$4:$K$12,"Water Env",'Stress Cases'!$L$4:$L$12,A21,'Stress Cases'!$I$4:$I$12,"Failed under stress")&gt;0,"Failed under linked stress case",IF(COUNTIFS('Stress Cases'!$K$4:$K$12,"Water Env",'Stress Cases'!$L$4:$L$12,A21,'Stress Cases'!$I$4:$I$12,"Unresolved*")&gt;0,"Unresolved, linked stress missing",IF(OR(F21="",H21=""),"Unresolved, evidence missing",IF(AND(H21&gt;0,S21=""),"Unresolved, resource origin missing",IF(OR(ISNUMBER(SEARCH("No evidence",Q21)),ISNUMBER(SEARCH("Missing substantive",Q21)),ISNUMBER(SEARCH("Contested substantive",Q21))),"Unresolved, evidence missing",IF(AND(R21="Yes",S21&lt;&gt;"Public-welfare transfer"),"Unresolved, cross-ledger transfer missing",IF(I21&lt;0,"Failed under stress",IF(AND(J21&lt;&gt;"",J21&lt;0),"Conditional pass","Pass"))))))))))))))</f>
        <v/>
      </c>
      <c r="L21" s="32" t="str"/>
      <c r="M21" s="32" t="str"/>
      <c r="N21" s="32" t="str"/>
      <c r="O21" s="32" t="str"/>
      <c r="P21" s="32" t="str"/>
      <c r="Q21" s="17">
        <f>IF(A21="","",IF(P21="","No evidence ID",IFERROR(IF(VLOOKUP(P21,'Evidence Register'!A:M,11,FALSE)="Missing","Missing substantive evidence",IF(VLOOKUP(P21,'Evidence Register'!A:M,11,FALSE)="Contested","Contested substantive evidence",IF(VLOOKUP(P21,'Evidence Register'!A:M,10,FALSE)="Pinned","Pinned evidence",IF(VLOOKUP(P21,'Evidence Register'!A:M,10,FALSE)="Confidential-reviewable","Reviewable evidence","Pin issue: "&amp;VLOOKUP(P21,'Evidence Register'!A:M,10,FALSE))))),"Missing evidence ID")))</f>
        <v/>
      </c>
      <c r="R21" s="17">
        <f>IF(A21="","",IF(OR(H21="",H21=0),"",IF(S21="","Missing origin",IF(S21&lt;&gt;"Water Env","Yes","No"))))</f>
        <v/>
      </c>
      <c r="S21" s="32" t="str"/>
      <c r="T21" s="32" t="str"/>
    </row>
    <row r="22" ht="39.59999847412109" customHeight="1">
      <c r="A22" s="28" t="inlineStr">
        <is>
          <t>Total / dashboard line</t>
        </is>
      </c>
      <c r="B22" s="28" t="str"/>
      <c r="C22" s="28" t="str"/>
      <c r="D22" s="28" t="str"/>
      <c r="E22" s="28" t="str"/>
      <c r="F22" s="34">
        <f>IF(COUNTIF(B4:B21,"Triggered")=0,"",SUM(F4:F21))</f>
        <v/>
      </c>
      <c r="G22" s="34">
        <f>IF(COUNTIF(B4:B21,"Triggered")=0,"",IF(COUNT(G4:G21)=0,"",SUM(G4:G21)))</f>
        <v/>
      </c>
      <c r="H22" s="34">
        <f>IF(COUNTIF(B4:B21,"Triggered")=0,"",SUM(H4:H21))</f>
        <v/>
      </c>
      <c r="I22" s="34">
        <f>IF(F22="","",H22-F22)</f>
        <v/>
      </c>
      <c r="J22" s="34">
        <f>IF(OR(G22="",H22=""),"",H22-G22)</f>
        <v/>
      </c>
      <c r="K22" s="30">
        <f>IF(COUNTIF(B4:B21,"Triggered")=0,"No entries yet",IF(COUNTIF(K4:K21,"*Failed*")&gt;0,"Failed under stress",IF(COUNTIF(K4:K21,"Unresolved*")&gt;0,"Unresolved",IF(COUNTIF(K4:K21,"Conditional pass")&gt;0,"Conditional pass",IF(I22&lt;0,"Failed under stress",IF(AND(J22&lt;&gt;"",J22&lt;0),"Conditional pass","Pass"))))))</f>
        <v/>
      </c>
      <c r="L22" s="28" t="str"/>
      <c r="M22" s="28" t="str"/>
      <c r="N22" s="28" t="str"/>
      <c r="O22" s="28" t="str"/>
      <c r="P22" s="28" t="str"/>
      <c r="Q22" s="30" t="str"/>
      <c r="R22" s="30">
        <f>IF(OR(COUNTIFS(B4:B21,"Triggered",R4:R21,"Yes")&gt;0,COUNTIFS(B4:B21,"Triggered",R4:R21,"Missing origin")&gt;0),"Flag: cross-ledger or origin issue",IF(OR(COUNTIFS(B4:B21,"Triggered",Q4:Q21,"Missing evidence ID")&gt;0,COUNTIFS(B4:B21,"Triggered",Q4:Q21,"Needs pin*")&gt;0,COUNTIFS(B4:B21,"Triggered",Q4:Q21,"No evidence ID")&gt;0),"Flag: evidence pin incomplete",""))</f>
        <v/>
      </c>
      <c r="S22" s="28" t="str"/>
      <c r="T22" s="28" t="str"/>
    </row>
    <row r="23" ht="15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</row>
    <row r="24" ht="15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</row>
  </sheetData>
  <sheetProtection selectLockedCells="0" selectUnlockedCells="1" sheet="1" objects="0" insertRows="0" insertHyperlinks="1" autoFilter="1" scenarios="0" formatColumns="0" deleteColumns="1" insertColumns="1" pivotTables="1" deleteRows="0" formatCells="1" formatRows="0" sort="1"/>
  <dataValidations count="5">
    <dataValidation sqref="B4:B21" showDropDown="0" showInputMessage="0" showErrorMessage="0" allowBlank="1" type="list">
      <formula1>"Triggered,Not triggered,Not applicable,Unknown"</formula1>
    </dataValidation>
    <dataValidation sqref="D4:D21" showDropDown="0" showInputMessage="0" showErrorMessage="0" allowBlank="1" type="list">
      <formula1>"Settled cash,Callable secured credit,Enforceable scoped promise,Unsecured promise,Narrative-only promise,Unaccredited performance claim,Strong / Medium / Proxy / Unknown"</formula1>
    </dataValidation>
    <dataValidation sqref="L4:L21" showDropDown="0" showInputMessage="0" showErrorMessage="0" allowBlank="1" type="list">
      <formula1>"Public,Confidential-reviewable,Proxy,Missing,Contested"</formula1>
    </dataValidation>
    <dataValidation sqref="P4:P21" showDropDown="0" showInputMessage="0" showErrorMessage="0" allowBlank="1" type="list">
      <formula1>"EV-001,EV-002,EV-003,EV-004,EV-005,EV-006,EV-007,EV-008,EV-009,EV-010,EV-011,EV-012,EV-013,EV-014,EV-015,EV-016,EV-017,EV-018,EV-019,EV-020,EV-021,EV-022,EV-023,EV-024,EV-025,EV-026,EV-027,EV-028,EV-029,EV-030,EV-031,EV-032,EV-033,EV-034,EV-035,EV-036,EV-037,EV-038,EV-039,EV-040,EV-041,EV-042,EV-043,EV-044,EV-045,EV-046,EV-047,EV-048,EV-049,EV-050,EV-051,EV-052,EV-053,EV-054,EV-055,EV-056,EV-057,EV-058,EV-059,EV-060"</formula1>
    </dataValidation>
    <dataValidation sqref="S4:S21" showDropDown="0" showInputMessage="0" showErrorMessage="0" allowBlank="1" type="list">
      <formula1>"Electric Ledger,RTO Capacity,Local Fiscal,Water Env,Credit Collateral,Distributional,Public-welfare transfer"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23.32999992370605" customWidth="1" min="1" max="1"/>
    <col width="16.67000007629395" customWidth="1" min="2" max="2"/>
    <col width="16.67000007629395" customWidth="1" min="3" max="3"/>
    <col width="16.67000007629395" customWidth="1" min="4" max="4"/>
    <col width="16.67000007629395" customWidth="1" min="5" max="5"/>
    <col width="13.32999992370605" customWidth="1" min="6" max="6"/>
    <col width="13.32999992370605" customWidth="1" min="7" max="7"/>
    <col width="13.32999992370605" customWidth="1" min="8" max="8"/>
    <col width="13.32999992370605" customWidth="1" min="9" max="9"/>
    <col width="13.32999992370605" customWidth="1" min="10" max="10"/>
    <col width="22.78000068664551" customWidth="1" min="11" max="11"/>
    <col width="22.78000068664551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50.40000152587891" customHeight="1">
      <c r="A1" s="4" t="inlineStr">
        <is>
          <t>Credit Collateral</t>
        </is>
      </c>
      <c r="B1" s="4" t="str"/>
      <c r="C1" s="4" t="str"/>
      <c r="D1" s="4" t="str"/>
      <c r="E1" s="4" t="str"/>
      <c r="F1" s="4" t="str"/>
      <c r="G1" s="4" t="str"/>
      <c r="H1" s="4" t="str"/>
      <c r="I1" s="4" t="str"/>
      <c r="J1" s="4" t="str"/>
      <c r="K1" s="4" t="str"/>
      <c r="L1" s="4" t="str"/>
      <c r="M1" s="4" t="str"/>
      <c r="N1" s="4" t="str"/>
      <c r="O1" s="4" t="str"/>
      <c r="P1" s="4" t="str"/>
      <c r="Q1" s="4" t="str"/>
      <c r="R1" s="4" t="str"/>
      <c r="S1" s="4" t="str"/>
      <c r="T1" s="4" t="str"/>
    </row>
    <row r="2" ht="15" customHeight="1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</row>
    <row r="3" ht="39.59999847412109" customHeight="1">
      <c r="A3" s="8" t="inlineStr">
        <is>
          <t>Ledger line</t>
        </is>
      </c>
      <c r="B3" s="8" t="inlineStr">
        <is>
          <t>Applicability</t>
        </is>
      </c>
      <c r="C3" s="8" t="inlineStr">
        <is>
          <t>Causation category</t>
        </is>
      </c>
      <c r="D3" s="8" t="inlineStr">
        <is>
          <t>Evidence band</t>
        </is>
      </c>
      <c r="E3" s="8" t="inlineStr">
        <is>
          <t>Unit</t>
        </is>
      </c>
      <c r="F3" s="8" t="inlineStr">
        <is>
          <t>Base exposure</t>
        </is>
      </c>
      <c r="G3" s="8" t="inlineStr">
        <is>
          <t>Stress exposure</t>
        </is>
      </c>
      <c r="H3" s="8" t="inlineStr">
        <is>
          <t>Credited resources</t>
        </is>
      </c>
      <c r="I3" s="8" t="inlineStr">
        <is>
          <t>Base gap</t>
        </is>
      </c>
      <c r="J3" s="8" t="inlineStr">
        <is>
          <t>Stress gap</t>
        </is>
      </c>
      <c r="K3" s="8" t="inlineStr">
        <is>
          <t>Status</t>
        </is>
      </c>
      <c r="L3" s="8" t="inlineStr">
        <is>
          <t>Evidence status</t>
        </is>
      </c>
      <c r="M3" s="8" t="inlineStr">
        <is>
          <t>Residual claimant</t>
        </is>
      </c>
      <c r="N3" s="8" t="inlineStr">
        <is>
          <t>Source URL / docket</t>
        </is>
      </c>
      <c r="O3" s="8" t="inlineStr">
        <is>
          <t>Page / table / order pin</t>
        </is>
      </c>
      <c r="P3" s="8" t="inlineStr">
        <is>
          <t>Evidence ID</t>
        </is>
      </c>
      <c r="Q3" s="8" t="inlineStr">
        <is>
          <t>Evidence quality check</t>
        </is>
      </c>
      <c r="R3" s="8" t="inlineStr">
        <is>
          <t>Cross-ledger check</t>
        </is>
      </c>
      <c r="S3" s="8" t="inlineStr">
        <is>
          <t>Resource ledger of origin</t>
        </is>
      </c>
      <c r="T3" s="8" t="inlineStr">
        <is>
          <t>Notes</t>
        </is>
      </c>
    </row>
    <row r="4" ht="52.79999923706055" customHeight="1">
      <c r="A4" s="15" t="inlineStr">
        <is>
          <t>Cash / escrow</t>
        </is>
      </c>
      <c r="B4" s="32" t="inlineStr">
        <is>
          <t>Unknown</t>
        </is>
      </c>
      <c r="C4" s="32" t="inlineStr">
        <is>
          <t>Settlement resource</t>
        </is>
      </c>
      <c r="D4" s="32" t="inlineStr">
        <is>
          <t>Settled cash</t>
        </is>
      </c>
      <c r="E4" s="32" t="inlineStr">
        <is>
          <t>one-time $</t>
        </is>
      </c>
      <c r="F4" s="33" t="str"/>
      <c r="G4" s="33" t="str"/>
      <c r="H4" s="33" t="str"/>
      <c r="I4" s="31">
        <f>IF(OR(A4="",B4&lt;&gt;"Triggered",F4="",H4=""),"",H4-F4)</f>
        <v/>
      </c>
      <c r="J4" s="31">
        <f>IF(OR(A4="",B4&lt;&gt;"Triggered",G4="",H4=""),"",H4-G4)</f>
        <v/>
      </c>
      <c r="K4" s="17">
        <f>IF(A4="","",IF(B4="Not applicable","Not applicable",IF(B4="Not triggered","Not triggered",IF(B4="Unknown","Unresolved, evidence missing",IF(L4="Confidential-reviewable","Unresolved, confidential but reviewable",IF(L4="Contested","Unresolved, contested",IF(COUNTIFS('Stress Cases'!$K$4:$K$12,"Credit Collateral",'Stress Cases'!$L$4:$L$12,A4,'Stress Cases'!$I$4:$I$12,"Failed under stress")&gt;0,"Failed under linked stress case",IF(COUNTIFS('Stress Cases'!$K$4:$K$12,"Credit Collateral",'Stress Cases'!$L$4:$L$12,A4,'Stress Cases'!$I$4:$I$12,"Unresolved*")&gt;0,"Unresolved, linked stress missing",IF(OR(F4="",H4=""),"Unresolved, evidence missing",IF(AND(H4&gt;0,S4=""),"Unresolved, resource origin missing",IF(OR(ISNUMBER(SEARCH("No evidence",Q4)),ISNUMBER(SEARCH("Missing substantive",Q4)),ISNUMBER(SEARCH("Contested substantive",Q4))),"Unresolved, evidence missing",IF(AND(R4="Yes",S4&lt;&gt;"Public-welfare transfer"),"Unresolved, cross-ledger transfer missing",IF(I4&lt;0,"Failed under stress",IF(AND(J4&lt;&gt;"",J4&lt;0),"Conditional pass","Pass"))))))))))))))</f>
        <v/>
      </c>
      <c r="L4" s="32" t="inlineStr">
        <is>
          <t>Missing</t>
        </is>
      </c>
      <c r="M4" s="32" t="str"/>
      <c r="N4" s="32" t="str"/>
      <c r="O4" s="32" t="str"/>
      <c r="P4" s="32" t="str"/>
      <c r="Q4" s="17">
        <f>IF(A4="","",IF(P4="","No evidence ID",IFERROR(IF(VLOOKUP(P4,'Evidence Register'!A:M,11,FALSE)="Missing","Missing substantive evidence",IF(VLOOKUP(P4,'Evidence Register'!A:M,11,FALSE)="Contested","Contested substantive evidence",IF(VLOOKUP(P4,'Evidence Register'!A:M,10,FALSE)="Pinned","Pinned evidence",IF(VLOOKUP(P4,'Evidence Register'!A:M,10,FALSE)="Confidential-reviewable","Reviewable evidence","Pin issue: "&amp;VLOOKUP(P4,'Evidence Register'!A:M,10,FALSE))))),"Missing evidence ID")))</f>
        <v/>
      </c>
      <c r="R4" s="17">
        <f>IF(A4="","",IF(OR(H4="",H4=0),"",IF(S4="","Missing origin",IF(S4&lt;&gt;"Credit Collateral","Yes","No"))))</f>
        <v/>
      </c>
      <c r="S4" s="32" t="str"/>
      <c r="T4" s="32" t="str"/>
    </row>
    <row r="5" ht="52.79999923706055" customHeight="1">
      <c r="A5" s="15" t="inlineStr">
        <is>
          <t>LOC / secured credit</t>
        </is>
      </c>
      <c r="B5" s="32" t="inlineStr">
        <is>
          <t>Unknown</t>
        </is>
      </c>
      <c r="C5" s="32" t="inlineStr">
        <is>
          <t>Settlement resource</t>
        </is>
      </c>
      <c r="D5" s="32" t="inlineStr">
        <is>
          <t>Callable secured credit</t>
        </is>
      </c>
      <c r="E5" s="32" t="inlineStr">
        <is>
          <t>one-time $</t>
        </is>
      </c>
      <c r="F5" s="33" t="str"/>
      <c r="G5" s="33" t="str"/>
      <c r="H5" s="33" t="str"/>
      <c r="I5" s="31">
        <f>IF(OR(A5="",B5&lt;&gt;"Triggered",F5="",H5=""),"",H5-F5)</f>
        <v/>
      </c>
      <c r="J5" s="31">
        <f>IF(OR(A5="",B5&lt;&gt;"Triggered",G5="",H5=""),"",H5-G5)</f>
        <v/>
      </c>
      <c r="K5" s="17">
        <f>IF(A5="","",IF(B5="Not applicable","Not applicable",IF(B5="Not triggered","Not triggered",IF(B5="Unknown","Unresolved, evidence missing",IF(L5="Confidential-reviewable","Unresolved, confidential but reviewable",IF(L5="Contested","Unresolved, contested",IF(COUNTIFS('Stress Cases'!$K$4:$K$12,"Credit Collateral",'Stress Cases'!$L$4:$L$12,A5,'Stress Cases'!$I$4:$I$12,"Failed under stress")&gt;0,"Failed under linked stress case",IF(COUNTIFS('Stress Cases'!$K$4:$K$12,"Credit Collateral",'Stress Cases'!$L$4:$L$12,A5,'Stress Cases'!$I$4:$I$12,"Unresolved*")&gt;0,"Unresolved, linked stress missing",IF(OR(F5="",H5=""),"Unresolved, evidence missing",IF(AND(H5&gt;0,S5=""),"Unresolved, resource origin missing",IF(OR(ISNUMBER(SEARCH("No evidence",Q5)),ISNUMBER(SEARCH("Missing substantive",Q5)),ISNUMBER(SEARCH("Contested substantive",Q5))),"Unresolved, evidence missing",IF(AND(R5="Yes",S5&lt;&gt;"Public-welfare transfer"),"Unresolved, cross-ledger transfer missing",IF(I5&lt;0,"Failed under stress",IF(AND(J5&lt;&gt;"",J5&lt;0),"Conditional pass","Pass"))))))))))))))</f>
        <v/>
      </c>
      <c r="L5" s="32" t="inlineStr">
        <is>
          <t>Missing</t>
        </is>
      </c>
      <c r="M5" s="32" t="str"/>
      <c r="N5" s="32" t="str"/>
      <c r="O5" s="32" t="str"/>
      <c r="P5" s="32" t="str"/>
      <c r="Q5" s="17">
        <f>IF(A5="","",IF(P5="","No evidence ID",IFERROR(IF(VLOOKUP(P5,'Evidence Register'!A:M,11,FALSE)="Missing","Missing substantive evidence",IF(VLOOKUP(P5,'Evidence Register'!A:M,11,FALSE)="Contested","Contested substantive evidence",IF(VLOOKUP(P5,'Evidence Register'!A:M,10,FALSE)="Pinned","Pinned evidence",IF(VLOOKUP(P5,'Evidence Register'!A:M,10,FALSE)="Confidential-reviewable","Reviewable evidence","Pin issue: "&amp;VLOOKUP(P5,'Evidence Register'!A:M,10,FALSE))))),"Missing evidence ID")))</f>
        <v/>
      </c>
      <c r="R5" s="17">
        <f>IF(A5="","",IF(OR(H5="",H5=0),"",IF(S5="","Missing origin",IF(S5&lt;&gt;"Credit Collateral","Yes","No"))))</f>
        <v/>
      </c>
      <c r="S5" s="32" t="str"/>
      <c r="T5" s="32" t="str"/>
    </row>
    <row r="6" ht="52.79999923706055" customHeight="1">
      <c r="A6" s="15" t="inlineStr">
        <is>
          <t>Parent guarantee</t>
        </is>
      </c>
      <c r="B6" s="32" t="inlineStr">
        <is>
          <t>Unknown</t>
        </is>
      </c>
      <c r="C6" s="32" t="inlineStr">
        <is>
          <t>Settlement resource</t>
        </is>
      </c>
      <c r="D6" s="32" t="inlineStr">
        <is>
          <t>Enforceable scoped promise</t>
        </is>
      </c>
      <c r="E6" s="32" t="inlineStr">
        <is>
          <t>covered obligation $</t>
        </is>
      </c>
      <c r="F6" s="33" t="str"/>
      <c r="G6" s="33" t="str"/>
      <c r="H6" s="33" t="str"/>
      <c r="I6" s="31">
        <f>IF(OR(A6="",B6&lt;&gt;"Triggered",F6="",H6=""),"",H6-F6)</f>
        <v/>
      </c>
      <c r="J6" s="31">
        <f>IF(OR(A6="",B6&lt;&gt;"Triggered",G6="",H6=""),"",H6-G6)</f>
        <v/>
      </c>
      <c r="K6" s="17">
        <f>IF(A6="","",IF(B6="Not applicable","Not applicable",IF(B6="Not triggered","Not triggered",IF(B6="Unknown","Unresolved, evidence missing",IF(L6="Confidential-reviewable","Unresolved, confidential but reviewable",IF(L6="Contested","Unresolved, contested",IF(COUNTIFS('Stress Cases'!$K$4:$K$12,"Credit Collateral",'Stress Cases'!$L$4:$L$12,A6,'Stress Cases'!$I$4:$I$12,"Failed under stress")&gt;0,"Failed under linked stress case",IF(COUNTIFS('Stress Cases'!$K$4:$K$12,"Credit Collateral",'Stress Cases'!$L$4:$L$12,A6,'Stress Cases'!$I$4:$I$12,"Unresolved*")&gt;0,"Unresolved, linked stress missing",IF(OR(F6="",H6=""),"Unresolved, evidence missing",IF(AND(H6&gt;0,S6=""),"Unresolved, resource origin missing",IF(OR(ISNUMBER(SEARCH("No evidence",Q6)),ISNUMBER(SEARCH("Missing substantive",Q6)),ISNUMBER(SEARCH("Contested substantive",Q6))),"Unresolved, evidence missing",IF(AND(R6="Yes",S6&lt;&gt;"Public-welfare transfer"),"Unresolved, cross-ledger transfer missing",IF(I6&lt;0,"Failed under stress",IF(AND(J6&lt;&gt;"",J6&lt;0),"Conditional pass","Pass"))))))))))))))</f>
        <v/>
      </c>
      <c r="L6" s="32" t="inlineStr">
        <is>
          <t>Missing</t>
        </is>
      </c>
      <c r="M6" s="32" t="str"/>
      <c r="N6" s="32" t="str"/>
      <c r="O6" s="32" t="str"/>
      <c r="P6" s="32" t="str"/>
      <c r="Q6" s="17">
        <f>IF(A6="","",IF(P6="","No evidence ID",IFERROR(IF(VLOOKUP(P6,'Evidence Register'!A:M,11,FALSE)="Missing","Missing substantive evidence",IF(VLOOKUP(P6,'Evidence Register'!A:M,11,FALSE)="Contested","Contested substantive evidence",IF(VLOOKUP(P6,'Evidence Register'!A:M,10,FALSE)="Pinned","Pinned evidence",IF(VLOOKUP(P6,'Evidence Register'!A:M,10,FALSE)="Confidential-reviewable","Reviewable evidence","Pin issue: "&amp;VLOOKUP(P6,'Evidence Register'!A:M,10,FALSE))))),"Missing evidence ID")))</f>
        <v/>
      </c>
      <c r="R6" s="17">
        <f>IF(A6="","",IF(OR(H6="",H6=0),"",IF(S6="","Missing origin",IF(S6&lt;&gt;"Credit Collateral","Yes","No"))))</f>
        <v/>
      </c>
      <c r="S6" s="32" t="str"/>
      <c r="T6" s="32" t="str"/>
    </row>
    <row r="7" ht="52.79999923706055" customHeight="1">
      <c r="A7" s="15" t="inlineStr">
        <is>
          <t>Affiliate / SPV promise</t>
        </is>
      </c>
      <c r="B7" s="32" t="inlineStr">
        <is>
          <t>Unknown</t>
        </is>
      </c>
      <c r="C7" s="32" t="inlineStr">
        <is>
          <t>Settlement resource</t>
        </is>
      </c>
      <c r="D7" s="32" t="inlineStr">
        <is>
          <t>Unsecured promise</t>
        </is>
      </c>
      <c r="E7" s="32" t="inlineStr">
        <is>
          <t>covered obligation $</t>
        </is>
      </c>
      <c r="F7" s="33" t="str"/>
      <c r="G7" s="33" t="str"/>
      <c r="H7" s="33" t="str"/>
      <c r="I7" s="31">
        <f>IF(OR(A7="",B7&lt;&gt;"Triggered",F7="",H7=""),"",H7-F7)</f>
        <v/>
      </c>
      <c r="J7" s="31">
        <f>IF(OR(A7="",B7&lt;&gt;"Triggered",G7="",H7=""),"",H7-G7)</f>
        <v/>
      </c>
      <c r="K7" s="17">
        <f>IF(A7="","",IF(B7="Not applicable","Not applicable",IF(B7="Not triggered","Not triggered",IF(B7="Unknown","Unresolved, evidence missing",IF(L7="Confidential-reviewable","Unresolved, confidential but reviewable",IF(L7="Contested","Unresolved, contested",IF(COUNTIFS('Stress Cases'!$K$4:$K$12,"Credit Collateral",'Stress Cases'!$L$4:$L$12,A7,'Stress Cases'!$I$4:$I$12,"Failed under stress")&gt;0,"Failed under linked stress case",IF(COUNTIFS('Stress Cases'!$K$4:$K$12,"Credit Collateral",'Stress Cases'!$L$4:$L$12,A7,'Stress Cases'!$I$4:$I$12,"Unresolved*")&gt;0,"Unresolved, linked stress missing",IF(OR(F7="",H7=""),"Unresolved, evidence missing",IF(AND(H7&gt;0,S7=""),"Unresolved, resource origin missing",IF(OR(ISNUMBER(SEARCH("No evidence",Q7)),ISNUMBER(SEARCH("Missing substantive",Q7)),ISNUMBER(SEARCH("Contested substantive",Q7))),"Unresolved, evidence missing",IF(AND(R7="Yes",S7&lt;&gt;"Public-welfare transfer"),"Unresolved, cross-ledger transfer missing",IF(I7&lt;0,"Failed under stress",IF(AND(J7&lt;&gt;"",J7&lt;0),"Conditional pass","Pass"))))))))))))))</f>
        <v/>
      </c>
      <c r="L7" s="32" t="inlineStr">
        <is>
          <t>Missing</t>
        </is>
      </c>
      <c r="M7" s="32" t="str"/>
      <c r="N7" s="32" t="str"/>
      <c r="O7" s="32" t="str"/>
      <c r="P7" s="32" t="str"/>
      <c r="Q7" s="17">
        <f>IF(A7="","",IF(P7="","No evidence ID",IFERROR(IF(VLOOKUP(P7,'Evidence Register'!A:M,11,FALSE)="Missing","Missing substantive evidence",IF(VLOOKUP(P7,'Evidence Register'!A:M,11,FALSE)="Contested","Contested substantive evidence",IF(VLOOKUP(P7,'Evidence Register'!A:M,10,FALSE)="Pinned","Pinned evidence",IF(VLOOKUP(P7,'Evidence Register'!A:M,10,FALSE)="Confidential-reviewable","Reviewable evidence","Pin issue: "&amp;VLOOKUP(P7,'Evidence Register'!A:M,10,FALSE))))),"Missing evidence ID")))</f>
        <v/>
      </c>
      <c r="R7" s="17">
        <f>IF(A7="","",IF(OR(H7="",H7=0),"",IF(S7="","Missing origin",IF(S7&lt;&gt;"Credit Collateral","Yes","No"))))</f>
        <v/>
      </c>
      <c r="S7" s="32" t="str"/>
      <c r="T7" s="32" t="str"/>
    </row>
    <row r="8" ht="52.79999923706055" customHeight="1">
      <c r="A8" s="15" t="inlineStr">
        <is>
          <t>Narrative-only pledge</t>
        </is>
      </c>
      <c r="B8" s="32" t="inlineStr">
        <is>
          <t>Unknown</t>
        </is>
      </c>
      <c r="C8" s="32" t="inlineStr">
        <is>
          <t>Settlement resource</t>
        </is>
      </c>
      <c r="D8" s="32" t="inlineStr">
        <is>
          <t>Narrative-only promise</t>
        </is>
      </c>
      <c r="E8" s="32" t="inlineStr">
        <is>
          <t>screening band</t>
        </is>
      </c>
      <c r="F8" s="33" t="str"/>
      <c r="G8" s="33" t="str"/>
      <c r="H8" s="33" t="str"/>
      <c r="I8" s="31">
        <f>IF(OR(A8="",B8&lt;&gt;"Triggered",F8="",H8=""),"",H8-F8)</f>
        <v/>
      </c>
      <c r="J8" s="31">
        <f>IF(OR(A8="",B8&lt;&gt;"Triggered",G8="",H8=""),"",H8-G8)</f>
        <v/>
      </c>
      <c r="K8" s="17">
        <f>IF(A8="","",IF(B8="Not applicable","Not applicable",IF(B8="Not triggered","Not triggered",IF(B8="Unknown","Unresolved, evidence missing",IF(L8="Confidential-reviewable","Unresolved, confidential but reviewable",IF(L8="Contested","Unresolved, contested",IF(COUNTIFS('Stress Cases'!$K$4:$K$12,"Credit Collateral",'Stress Cases'!$L$4:$L$12,A8,'Stress Cases'!$I$4:$I$12,"Failed under stress")&gt;0,"Failed under linked stress case",IF(COUNTIFS('Stress Cases'!$K$4:$K$12,"Credit Collateral",'Stress Cases'!$L$4:$L$12,A8,'Stress Cases'!$I$4:$I$12,"Unresolved*")&gt;0,"Unresolved, linked stress missing",IF(OR(F8="",H8=""),"Unresolved, evidence missing",IF(AND(H8&gt;0,S8=""),"Unresolved, resource origin missing",IF(OR(ISNUMBER(SEARCH("No evidence",Q8)),ISNUMBER(SEARCH("Missing substantive",Q8)),ISNUMBER(SEARCH("Contested substantive",Q8))),"Unresolved, evidence missing",IF(AND(R8="Yes",S8&lt;&gt;"Public-welfare transfer"),"Unresolved, cross-ledger transfer missing",IF(I8&lt;0,"Failed under stress",IF(AND(J8&lt;&gt;"",J8&lt;0),"Conditional pass","Pass"))))))))))))))</f>
        <v/>
      </c>
      <c r="L8" s="32" t="inlineStr">
        <is>
          <t>Missing</t>
        </is>
      </c>
      <c r="M8" s="32" t="str"/>
      <c r="N8" s="32" t="str"/>
      <c r="O8" s="32" t="str"/>
      <c r="P8" s="32" t="str"/>
      <c r="Q8" s="17">
        <f>IF(A8="","",IF(P8="","No evidence ID",IFERROR(IF(VLOOKUP(P8,'Evidence Register'!A:M,11,FALSE)="Missing","Missing substantive evidence",IF(VLOOKUP(P8,'Evidence Register'!A:M,11,FALSE)="Contested","Contested substantive evidence",IF(VLOOKUP(P8,'Evidence Register'!A:M,10,FALSE)="Pinned","Pinned evidence",IF(VLOOKUP(P8,'Evidence Register'!A:M,10,FALSE)="Confidential-reviewable","Reviewable evidence","Pin issue: "&amp;VLOOKUP(P8,'Evidence Register'!A:M,10,FALSE))))),"Missing evidence ID")))</f>
        <v/>
      </c>
      <c r="R8" s="17">
        <f>IF(A8="","",IF(OR(H8="",H8=0),"",IF(S8="","Missing origin",IF(S8&lt;&gt;"Credit Collateral","Yes","No"))))</f>
        <v/>
      </c>
      <c r="S8" s="32" t="str"/>
      <c r="T8" s="32" t="str"/>
    </row>
    <row r="9" ht="15" customHeight="1">
      <c r="A9" s="15" t="str"/>
      <c r="B9" s="32" t="str"/>
      <c r="C9" s="32" t="str"/>
      <c r="D9" s="32" t="str"/>
      <c r="E9" s="32" t="str"/>
      <c r="F9" s="33" t="str"/>
      <c r="G9" s="33" t="str"/>
      <c r="H9" s="33" t="str"/>
      <c r="I9" s="31">
        <f>IF(OR(A9="",B9&lt;&gt;"Triggered",F9="",H9=""),"",H9-F9)</f>
        <v/>
      </c>
      <c r="J9" s="31">
        <f>IF(OR(A9="",B9&lt;&gt;"Triggered",G9="",H9=""),"",H9-G9)</f>
        <v/>
      </c>
      <c r="K9" s="17">
        <f>IF(A9="","",IF(B9="Not applicable","Not applicable",IF(B9="Not triggered","Not triggered",IF(B9="Unknown","Unresolved, evidence missing",IF(L9="Confidential-reviewable","Unresolved, confidential but reviewable",IF(L9="Contested","Unresolved, contested",IF(COUNTIFS('Stress Cases'!$K$4:$K$12,"Credit Collateral",'Stress Cases'!$L$4:$L$12,A9,'Stress Cases'!$I$4:$I$12,"Failed under stress")&gt;0,"Failed under linked stress case",IF(COUNTIFS('Stress Cases'!$K$4:$K$12,"Credit Collateral",'Stress Cases'!$L$4:$L$12,A9,'Stress Cases'!$I$4:$I$12,"Unresolved*")&gt;0,"Unresolved, linked stress missing",IF(OR(F9="",H9=""),"Unresolved, evidence missing",IF(AND(H9&gt;0,S9=""),"Unresolved, resource origin missing",IF(OR(ISNUMBER(SEARCH("No evidence",Q9)),ISNUMBER(SEARCH("Missing substantive",Q9)),ISNUMBER(SEARCH("Contested substantive",Q9))),"Unresolved, evidence missing",IF(AND(R9="Yes",S9&lt;&gt;"Public-welfare transfer"),"Unresolved, cross-ledger transfer missing",IF(I9&lt;0,"Failed under stress",IF(AND(J9&lt;&gt;"",J9&lt;0),"Conditional pass","Pass"))))))))))))))</f>
        <v/>
      </c>
      <c r="L9" s="32" t="str"/>
      <c r="M9" s="32" t="str"/>
      <c r="N9" s="32" t="str"/>
      <c r="O9" s="32" t="str"/>
      <c r="P9" s="32" t="str"/>
      <c r="Q9" s="17">
        <f>IF(A9="","",IF(P9="","No evidence ID",IFERROR(IF(VLOOKUP(P9,'Evidence Register'!A:M,11,FALSE)="Missing","Missing substantive evidence",IF(VLOOKUP(P9,'Evidence Register'!A:M,11,FALSE)="Contested","Contested substantive evidence",IF(VLOOKUP(P9,'Evidence Register'!A:M,10,FALSE)="Pinned","Pinned evidence",IF(VLOOKUP(P9,'Evidence Register'!A:M,10,FALSE)="Confidential-reviewable","Reviewable evidence","Pin issue: "&amp;VLOOKUP(P9,'Evidence Register'!A:M,10,FALSE))))),"Missing evidence ID")))</f>
        <v/>
      </c>
      <c r="R9" s="17">
        <f>IF(A9="","",IF(OR(H9="",H9=0),"",IF(S9="","Missing origin",IF(S9&lt;&gt;"Credit Collateral","Yes","No"))))</f>
        <v/>
      </c>
      <c r="S9" s="32" t="str"/>
      <c r="T9" s="32" t="str"/>
    </row>
    <row r="10" ht="15" customHeight="1">
      <c r="A10" s="15" t="str"/>
      <c r="B10" s="32" t="str"/>
      <c r="C10" s="32" t="str"/>
      <c r="D10" s="32" t="str"/>
      <c r="E10" s="32" t="str"/>
      <c r="F10" s="33" t="str"/>
      <c r="G10" s="33" t="str"/>
      <c r="H10" s="33" t="str"/>
      <c r="I10" s="31">
        <f>IF(OR(A10="",B10&lt;&gt;"Triggered",F10="",H10=""),"",H10-F10)</f>
        <v/>
      </c>
      <c r="J10" s="31">
        <f>IF(OR(A10="",B10&lt;&gt;"Triggered",G10="",H10=""),"",H10-G10)</f>
        <v/>
      </c>
      <c r="K10" s="17">
        <f>IF(A10="","",IF(B10="Not applicable","Not applicable",IF(B10="Not triggered","Not triggered",IF(B10="Unknown","Unresolved, evidence missing",IF(L10="Confidential-reviewable","Unresolved, confidential but reviewable",IF(L10="Contested","Unresolved, contested",IF(COUNTIFS('Stress Cases'!$K$4:$K$12,"Credit Collateral",'Stress Cases'!$L$4:$L$12,A10,'Stress Cases'!$I$4:$I$12,"Failed under stress")&gt;0,"Failed under linked stress case",IF(COUNTIFS('Stress Cases'!$K$4:$K$12,"Credit Collateral",'Stress Cases'!$L$4:$L$12,A10,'Stress Cases'!$I$4:$I$12,"Unresolved*")&gt;0,"Unresolved, linked stress missing",IF(OR(F10="",H10=""),"Unresolved, evidence missing",IF(AND(H10&gt;0,S10=""),"Unresolved, resource origin missing",IF(OR(ISNUMBER(SEARCH("No evidence",Q10)),ISNUMBER(SEARCH("Missing substantive",Q10)),ISNUMBER(SEARCH("Contested substantive",Q10))),"Unresolved, evidence missing",IF(AND(R10="Yes",S10&lt;&gt;"Public-welfare transfer"),"Unresolved, cross-ledger transfer missing",IF(I10&lt;0,"Failed under stress",IF(AND(J10&lt;&gt;"",J10&lt;0),"Conditional pass","Pass"))))))))))))))</f>
        <v/>
      </c>
      <c r="L10" s="32" t="str"/>
      <c r="M10" s="32" t="str"/>
      <c r="N10" s="32" t="str"/>
      <c r="O10" s="32" t="str"/>
      <c r="P10" s="32" t="str"/>
      <c r="Q10" s="17">
        <f>IF(A10="","",IF(P10="","No evidence ID",IFERROR(IF(VLOOKUP(P10,'Evidence Register'!A:M,11,FALSE)="Missing","Missing substantive evidence",IF(VLOOKUP(P10,'Evidence Register'!A:M,11,FALSE)="Contested","Contested substantive evidence",IF(VLOOKUP(P10,'Evidence Register'!A:M,10,FALSE)="Pinned","Pinned evidence",IF(VLOOKUP(P10,'Evidence Register'!A:M,10,FALSE)="Confidential-reviewable","Reviewable evidence","Pin issue: "&amp;VLOOKUP(P10,'Evidence Register'!A:M,10,FALSE))))),"Missing evidence ID")))</f>
        <v/>
      </c>
      <c r="R10" s="17">
        <f>IF(A10="","",IF(OR(H10="",H10=0),"",IF(S10="","Missing origin",IF(S10&lt;&gt;"Credit Collateral","Yes","No"))))</f>
        <v/>
      </c>
      <c r="S10" s="32" t="str"/>
      <c r="T10" s="32" t="str"/>
    </row>
    <row r="11" ht="15" customHeight="1">
      <c r="A11" s="15" t="str"/>
      <c r="B11" s="32" t="str"/>
      <c r="C11" s="32" t="str"/>
      <c r="D11" s="32" t="str"/>
      <c r="E11" s="32" t="str"/>
      <c r="F11" s="33" t="str"/>
      <c r="G11" s="33" t="str"/>
      <c r="H11" s="33" t="str"/>
      <c r="I11" s="31">
        <f>IF(OR(A11="",B11&lt;&gt;"Triggered",F11="",H11=""),"",H11-F11)</f>
        <v/>
      </c>
      <c r="J11" s="31">
        <f>IF(OR(A11="",B11&lt;&gt;"Triggered",G11="",H11=""),"",H11-G11)</f>
        <v/>
      </c>
      <c r="K11" s="17">
        <f>IF(A11="","",IF(B11="Not applicable","Not applicable",IF(B11="Not triggered","Not triggered",IF(B11="Unknown","Unresolved, evidence missing",IF(L11="Confidential-reviewable","Unresolved, confidential but reviewable",IF(L11="Contested","Unresolved, contested",IF(COUNTIFS('Stress Cases'!$K$4:$K$12,"Credit Collateral",'Stress Cases'!$L$4:$L$12,A11,'Stress Cases'!$I$4:$I$12,"Failed under stress")&gt;0,"Failed under linked stress case",IF(COUNTIFS('Stress Cases'!$K$4:$K$12,"Credit Collateral",'Stress Cases'!$L$4:$L$12,A11,'Stress Cases'!$I$4:$I$12,"Unresolved*")&gt;0,"Unresolved, linked stress missing",IF(OR(F11="",H11=""),"Unresolved, evidence missing",IF(AND(H11&gt;0,S11=""),"Unresolved, resource origin missing",IF(OR(ISNUMBER(SEARCH("No evidence",Q11)),ISNUMBER(SEARCH("Missing substantive",Q11)),ISNUMBER(SEARCH("Contested substantive",Q11))),"Unresolved, evidence missing",IF(AND(R11="Yes",S11&lt;&gt;"Public-welfare transfer"),"Unresolved, cross-ledger transfer missing",IF(I11&lt;0,"Failed under stress",IF(AND(J11&lt;&gt;"",J11&lt;0),"Conditional pass","Pass"))))))))))))))</f>
        <v/>
      </c>
      <c r="L11" s="32" t="str"/>
      <c r="M11" s="32" t="str"/>
      <c r="N11" s="32" t="str"/>
      <c r="O11" s="32" t="str"/>
      <c r="P11" s="32" t="str"/>
      <c r="Q11" s="17">
        <f>IF(A11="","",IF(P11="","No evidence ID",IFERROR(IF(VLOOKUP(P11,'Evidence Register'!A:M,11,FALSE)="Missing","Missing substantive evidence",IF(VLOOKUP(P11,'Evidence Register'!A:M,11,FALSE)="Contested","Contested substantive evidence",IF(VLOOKUP(P11,'Evidence Register'!A:M,10,FALSE)="Pinned","Pinned evidence",IF(VLOOKUP(P11,'Evidence Register'!A:M,10,FALSE)="Confidential-reviewable","Reviewable evidence","Pin issue: "&amp;VLOOKUP(P11,'Evidence Register'!A:M,10,FALSE))))),"Missing evidence ID")))</f>
        <v/>
      </c>
      <c r="R11" s="17">
        <f>IF(A11="","",IF(OR(H11="",H11=0),"",IF(S11="","Missing origin",IF(S11&lt;&gt;"Credit Collateral","Yes","No"))))</f>
        <v/>
      </c>
      <c r="S11" s="32" t="str"/>
      <c r="T11" s="32" t="str"/>
    </row>
    <row r="12" ht="15" customHeight="1">
      <c r="A12" s="15" t="str"/>
      <c r="B12" s="32" t="str"/>
      <c r="C12" s="32" t="str"/>
      <c r="D12" s="32" t="str"/>
      <c r="E12" s="32" t="str"/>
      <c r="F12" s="33" t="str"/>
      <c r="G12" s="33" t="str"/>
      <c r="H12" s="33" t="str"/>
      <c r="I12" s="31">
        <f>IF(OR(A12="",B12&lt;&gt;"Triggered",F12="",H12=""),"",H12-F12)</f>
        <v/>
      </c>
      <c r="J12" s="31">
        <f>IF(OR(A12="",B12&lt;&gt;"Triggered",G12="",H12=""),"",H12-G12)</f>
        <v/>
      </c>
      <c r="K12" s="17">
        <f>IF(A12="","",IF(B12="Not applicable","Not applicable",IF(B12="Not triggered","Not triggered",IF(B12="Unknown","Unresolved, evidence missing",IF(L12="Confidential-reviewable","Unresolved, confidential but reviewable",IF(L12="Contested","Unresolved, contested",IF(COUNTIFS('Stress Cases'!$K$4:$K$12,"Credit Collateral",'Stress Cases'!$L$4:$L$12,A12,'Stress Cases'!$I$4:$I$12,"Failed under stress")&gt;0,"Failed under linked stress case",IF(COUNTIFS('Stress Cases'!$K$4:$K$12,"Credit Collateral",'Stress Cases'!$L$4:$L$12,A12,'Stress Cases'!$I$4:$I$12,"Unresolved*")&gt;0,"Unresolved, linked stress missing",IF(OR(F12="",H12=""),"Unresolved, evidence missing",IF(AND(H12&gt;0,S12=""),"Unresolved, resource origin missing",IF(OR(ISNUMBER(SEARCH("No evidence",Q12)),ISNUMBER(SEARCH("Missing substantive",Q12)),ISNUMBER(SEARCH("Contested substantive",Q12))),"Unresolved, evidence missing",IF(AND(R12="Yes",S12&lt;&gt;"Public-welfare transfer"),"Unresolved, cross-ledger transfer missing",IF(I12&lt;0,"Failed under stress",IF(AND(J12&lt;&gt;"",J12&lt;0),"Conditional pass","Pass"))))))))))))))</f>
        <v/>
      </c>
      <c r="L12" s="32" t="str"/>
      <c r="M12" s="32" t="str"/>
      <c r="N12" s="32" t="str"/>
      <c r="O12" s="32" t="str"/>
      <c r="P12" s="32" t="str"/>
      <c r="Q12" s="17">
        <f>IF(A12="","",IF(P12="","No evidence ID",IFERROR(IF(VLOOKUP(P12,'Evidence Register'!A:M,11,FALSE)="Missing","Missing substantive evidence",IF(VLOOKUP(P12,'Evidence Register'!A:M,11,FALSE)="Contested","Contested substantive evidence",IF(VLOOKUP(P12,'Evidence Register'!A:M,10,FALSE)="Pinned","Pinned evidence",IF(VLOOKUP(P12,'Evidence Register'!A:M,10,FALSE)="Confidential-reviewable","Reviewable evidence","Pin issue: "&amp;VLOOKUP(P12,'Evidence Register'!A:M,10,FALSE))))),"Missing evidence ID")))</f>
        <v/>
      </c>
      <c r="R12" s="17">
        <f>IF(A12="","",IF(OR(H12="",H12=0),"",IF(S12="","Missing origin",IF(S12&lt;&gt;"Credit Collateral","Yes","No"))))</f>
        <v/>
      </c>
      <c r="S12" s="32" t="str"/>
      <c r="T12" s="32" t="str"/>
    </row>
    <row r="13" ht="15" customHeight="1">
      <c r="A13" s="15" t="str"/>
      <c r="B13" s="32" t="str"/>
      <c r="C13" s="32" t="str"/>
      <c r="D13" s="32" t="str"/>
      <c r="E13" s="32" t="str"/>
      <c r="F13" s="33" t="str"/>
      <c r="G13" s="33" t="str"/>
      <c r="H13" s="33" t="str"/>
      <c r="I13" s="31">
        <f>IF(OR(A13="",B13&lt;&gt;"Triggered",F13="",H13=""),"",H13-F13)</f>
        <v/>
      </c>
      <c r="J13" s="31">
        <f>IF(OR(A13="",B13&lt;&gt;"Triggered",G13="",H13=""),"",H13-G13)</f>
        <v/>
      </c>
      <c r="K13" s="17">
        <f>IF(A13="","",IF(B13="Not applicable","Not applicable",IF(B13="Not triggered","Not triggered",IF(B13="Unknown","Unresolved, evidence missing",IF(L13="Confidential-reviewable","Unresolved, confidential but reviewable",IF(L13="Contested","Unresolved, contested",IF(COUNTIFS('Stress Cases'!$K$4:$K$12,"Credit Collateral",'Stress Cases'!$L$4:$L$12,A13,'Stress Cases'!$I$4:$I$12,"Failed under stress")&gt;0,"Failed under linked stress case",IF(COUNTIFS('Stress Cases'!$K$4:$K$12,"Credit Collateral",'Stress Cases'!$L$4:$L$12,A13,'Stress Cases'!$I$4:$I$12,"Unresolved*")&gt;0,"Unresolved, linked stress missing",IF(OR(F13="",H13=""),"Unresolved, evidence missing",IF(AND(H13&gt;0,S13=""),"Unresolved, resource origin missing",IF(OR(ISNUMBER(SEARCH("No evidence",Q13)),ISNUMBER(SEARCH("Missing substantive",Q13)),ISNUMBER(SEARCH("Contested substantive",Q13))),"Unresolved, evidence missing",IF(AND(R13="Yes",S13&lt;&gt;"Public-welfare transfer"),"Unresolved, cross-ledger transfer missing",IF(I13&lt;0,"Failed under stress",IF(AND(J13&lt;&gt;"",J13&lt;0),"Conditional pass","Pass"))))))))))))))</f>
        <v/>
      </c>
      <c r="L13" s="32" t="str"/>
      <c r="M13" s="32" t="str"/>
      <c r="N13" s="32" t="str"/>
      <c r="O13" s="32" t="str"/>
      <c r="P13" s="32" t="str"/>
      <c r="Q13" s="17">
        <f>IF(A13="","",IF(P13="","No evidence ID",IFERROR(IF(VLOOKUP(P13,'Evidence Register'!A:M,11,FALSE)="Missing","Missing substantive evidence",IF(VLOOKUP(P13,'Evidence Register'!A:M,11,FALSE)="Contested","Contested substantive evidence",IF(VLOOKUP(P13,'Evidence Register'!A:M,10,FALSE)="Pinned","Pinned evidence",IF(VLOOKUP(P13,'Evidence Register'!A:M,10,FALSE)="Confidential-reviewable","Reviewable evidence","Pin issue: "&amp;VLOOKUP(P13,'Evidence Register'!A:M,10,FALSE))))),"Missing evidence ID")))</f>
        <v/>
      </c>
      <c r="R13" s="17">
        <f>IF(A13="","",IF(OR(H13="",H13=0),"",IF(S13="","Missing origin",IF(S13&lt;&gt;"Credit Collateral","Yes","No"))))</f>
        <v/>
      </c>
      <c r="S13" s="32" t="str"/>
      <c r="T13" s="32" t="str"/>
    </row>
    <row r="14" ht="15" customHeight="1">
      <c r="A14" s="15" t="str"/>
      <c r="B14" s="32" t="str"/>
      <c r="C14" s="32" t="str"/>
      <c r="D14" s="32" t="str"/>
      <c r="E14" s="32" t="str"/>
      <c r="F14" s="33" t="str"/>
      <c r="G14" s="33" t="str"/>
      <c r="H14" s="33" t="str"/>
      <c r="I14" s="31">
        <f>IF(OR(A14="",B14&lt;&gt;"Triggered",F14="",H14=""),"",H14-F14)</f>
        <v/>
      </c>
      <c r="J14" s="31">
        <f>IF(OR(A14="",B14&lt;&gt;"Triggered",G14="",H14=""),"",H14-G14)</f>
        <v/>
      </c>
      <c r="K14" s="17">
        <f>IF(A14="","",IF(B14="Not applicable","Not applicable",IF(B14="Not triggered","Not triggered",IF(B14="Unknown","Unresolved, evidence missing",IF(L14="Confidential-reviewable","Unresolved, confidential but reviewable",IF(L14="Contested","Unresolved, contested",IF(COUNTIFS('Stress Cases'!$K$4:$K$12,"Credit Collateral",'Stress Cases'!$L$4:$L$12,A14,'Stress Cases'!$I$4:$I$12,"Failed under stress")&gt;0,"Failed under linked stress case",IF(COUNTIFS('Stress Cases'!$K$4:$K$12,"Credit Collateral",'Stress Cases'!$L$4:$L$12,A14,'Stress Cases'!$I$4:$I$12,"Unresolved*")&gt;0,"Unresolved, linked stress missing",IF(OR(F14="",H14=""),"Unresolved, evidence missing",IF(AND(H14&gt;0,S14=""),"Unresolved, resource origin missing",IF(OR(ISNUMBER(SEARCH("No evidence",Q14)),ISNUMBER(SEARCH("Missing substantive",Q14)),ISNUMBER(SEARCH("Contested substantive",Q14))),"Unresolved, evidence missing",IF(AND(R14="Yes",S14&lt;&gt;"Public-welfare transfer"),"Unresolved, cross-ledger transfer missing",IF(I14&lt;0,"Failed under stress",IF(AND(J14&lt;&gt;"",J14&lt;0),"Conditional pass","Pass"))))))))))))))</f>
        <v/>
      </c>
      <c r="L14" s="32" t="str"/>
      <c r="M14" s="32" t="str"/>
      <c r="N14" s="32" t="str"/>
      <c r="O14" s="32" t="str"/>
      <c r="P14" s="32" t="str"/>
      <c r="Q14" s="17">
        <f>IF(A14="","",IF(P14="","No evidence ID",IFERROR(IF(VLOOKUP(P14,'Evidence Register'!A:M,11,FALSE)="Missing","Missing substantive evidence",IF(VLOOKUP(P14,'Evidence Register'!A:M,11,FALSE)="Contested","Contested substantive evidence",IF(VLOOKUP(P14,'Evidence Register'!A:M,10,FALSE)="Pinned","Pinned evidence",IF(VLOOKUP(P14,'Evidence Register'!A:M,10,FALSE)="Confidential-reviewable","Reviewable evidence","Pin issue: "&amp;VLOOKUP(P14,'Evidence Register'!A:M,10,FALSE))))),"Missing evidence ID")))</f>
        <v/>
      </c>
      <c r="R14" s="17">
        <f>IF(A14="","",IF(OR(H14="",H14=0),"",IF(S14="","Missing origin",IF(S14&lt;&gt;"Credit Collateral","Yes","No"))))</f>
        <v/>
      </c>
      <c r="S14" s="32" t="str"/>
      <c r="T14" s="32" t="str"/>
    </row>
    <row r="15" ht="15" customHeight="1">
      <c r="A15" s="15" t="str"/>
      <c r="B15" s="32" t="str"/>
      <c r="C15" s="32" t="str"/>
      <c r="D15" s="32" t="str"/>
      <c r="E15" s="32" t="str"/>
      <c r="F15" s="33" t="str"/>
      <c r="G15" s="33" t="str"/>
      <c r="H15" s="33" t="str"/>
      <c r="I15" s="31">
        <f>IF(OR(A15="",B15&lt;&gt;"Triggered",F15="",H15=""),"",H15-F15)</f>
        <v/>
      </c>
      <c r="J15" s="31">
        <f>IF(OR(A15="",B15&lt;&gt;"Triggered",G15="",H15=""),"",H15-G15)</f>
        <v/>
      </c>
      <c r="K15" s="17">
        <f>IF(A15="","",IF(B15="Not applicable","Not applicable",IF(B15="Not triggered","Not triggered",IF(B15="Unknown","Unresolved, evidence missing",IF(L15="Confidential-reviewable","Unresolved, confidential but reviewable",IF(L15="Contested","Unresolved, contested",IF(COUNTIFS('Stress Cases'!$K$4:$K$12,"Credit Collateral",'Stress Cases'!$L$4:$L$12,A15,'Stress Cases'!$I$4:$I$12,"Failed under stress")&gt;0,"Failed under linked stress case",IF(COUNTIFS('Stress Cases'!$K$4:$K$12,"Credit Collateral",'Stress Cases'!$L$4:$L$12,A15,'Stress Cases'!$I$4:$I$12,"Unresolved*")&gt;0,"Unresolved, linked stress missing",IF(OR(F15="",H15=""),"Unresolved, evidence missing",IF(AND(H15&gt;0,S15=""),"Unresolved, resource origin missing",IF(OR(ISNUMBER(SEARCH("No evidence",Q15)),ISNUMBER(SEARCH("Missing substantive",Q15)),ISNUMBER(SEARCH("Contested substantive",Q15))),"Unresolved, evidence missing",IF(AND(R15="Yes",S15&lt;&gt;"Public-welfare transfer"),"Unresolved, cross-ledger transfer missing",IF(I15&lt;0,"Failed under stress",IF(AND(J15&lt;&gt;"",J15&lt;0),"Conditional pass","Pass"))))))))))))))</f>
        <v/>
      </c>
      <c r="L15" s="32" t="str"/>
      <c r="M15" s="32" t="str"/>
      <c r="N15" s="32" t="str"/>
      <c r="O15" s="32" t="str"/>
      <c r="P15" s="32" t="str"/>
      <c r="Q15" s="17">
        <f>IF(A15="","",IF(P15="","No evidence ID",IFERROR(IF(VLOOKUP(P15,'Evidence Register'!A:M,11,FALSE)="Missing","Missing substantive evidence",IF(VLOOKUP(P15,'Evidence Register'!A:M,11,FALSE)="Contested","Contested substantive evidence",IF(VLOOKUP(P15,'Evidence Register'!A:M,10,FALSE)="Pinned","Pinned evidence",IF(VLOOKUP(P15,'Evidence Register'!A:M,10,FALSE)="Confidential-reviewable","Reviewable evidence","Pin issue: "&amp;VLOOKUP(P15,'Evidence Register'!A:M,10,FALSE))))),"Missing evidence ID")))</f>
        <v/>
      </c>
      <c r="R15" s="17">
        <f>IF(A15="","",IF(OR(H15="",H15=0),"",IF(S15="","Missing origin",IF(S15&lt;&gt;"Credit Collateral","Yes","No"))))</f>
        <v/>
      </c>
      <c r="S15" s="32" t="str"/>
      <c r="T15" s="32" t="str"/>
    </row>
    <row r="16" ht="15" customHeight="1">
      <c r="A16" s="15" t="str"/>
      <c r="B16" s="32" t="str"/>
      <c r="C16" s="32" t="str"/>
      <c r="D16" s="32" t="str"/>
      <c r="E16" s="32" t="str"/>
      <c r="F16" s="33" t="str"/>
      <c r="G16" s="33" t="str"/>
      <c r="H16" s="33" t="str"/>
      <c r="I16" s="31">
        <f>IF(OR(A16="",B16&lt;&gt;"Triggered",F16="",H16=""),"",H16-F16)</f>
        <v/>
      </c>
      <c r="J16" s="31">
        <f>IF(OR(A16="",B16&lt;&gt;"Triggered",G16="",H16=""),"",H16-G16)</f>
        <v/>
      </c>
      <c r="K16" s="17">
        <f>IF(A16="","",IF(B16="Not applicable","Not applicable",IF(B16="Not triggered","Not triggered",IF(B16="Unknown","Unresolved, evidence missing",IF(L16="Confidential-reviewable","Unresolved, confidential but reviewable",IF(L16="Contested","Unresolved, contested",IF(COUNTIFS('Stress Cases'!$K$4:$K$12,"Credit Collateral",'Stress Cases'!$L$4:$L$12,A16,'Stress Cases'!$I$4:$I$12,"Failed under stress")&gt;0,"Failed under linked stress case",IF(COUNTIFS('Stress Cases'!$K$4:$K$12,"Credit Collateral",'Stress Cases'!$L$4:$L$12,A16,'Stress Cases'!$I$4:$I$12,"Unresolved*")&gt;0,"Unresolved, linked stress missing",IF(OR(F16="",H16=""),"Unresolved, evidence missing",IF(AND(H16&gt;0,S16=""),"Unresolved, resource origin missing",IF(OR(ISNUMBER(SEARCH("No evidence",Q16)),ISNUMBER(SEARCH("Missing substantive",Q16)),ISNUMBER(SEARCH("Contested substantive",Q16))),"Unresolved, evidence missing",IF(AND(R16="Yes",S16&lt;&gt;"Public-welfare transfer"),"Unresolved, cross-ledger transfer missing",IF(I16&lt;0,"Failed under stress",IF(AND(J16&lt;&gt;"",J16&lt;0),"Conditional pass","Pass"))))))))))))))</f>
        <v/>
      </c>
      <c r="L16" s="32" t="str"/>
      <c r="M16" s="32" t="str"/>
      <c r="N16" s="32" t="str"/>
      <c r="O16" s="32" t="str"/>
      <c r="P16" s="32" t="str"/>
      <c r="Q16" s="17">
        <f>IF(A16="","",IF(P16="","No evidence ID",IFERROR(IF(VLOOKUP(P16,'Evidence Register'!A:M,11,FALSE)="Missing","Missing substantive evidence",IF(VLOOKUP(P16,'Evidence Register'!A:M,11,FALSE)="Contested","Contested substantive evidence",IF(VLOOKUP(P16,'Evidence Register'!A:M,10,FALSE)="Pinned","Pinned evidence",IF(VLOOKUP(P16,'Evidence Register'!A:M,10,FALSE)="Confidential-reviewable","Reviewable evidence","Pin issue: "&amp;VLOOKUP(P16,'Evidence Register'!A:M,10,FALSE))))),"Missing evidence ID")))</f>
        <v/>
      </c>
      <c r="R16" s="17">
        <f>IF(A16="","",IF(OR(H16="",H16=0),"",IF(S16="","Missing origin",IF(S16&lt;&gt;"Credit Collateral","Yes","No"))))</f>
        <v/>
      </c>
      <c r="S16" s="32" t="str"/>
      <c r="T16" s="32" t="str"/>
    </row>
    <row r="17" ht="15" customHeight="1">
      <c r="A17" s="15" t="str"/>
      <c r="B17" s="32" t="str"/>
      <c r="C17" s="32" t="str"/>
      <c r="D17" s="32" t="str"/>
      <c r="E17" s="32" t="str"/>
      <c r="F17" s="33" t="str"/>
      <c r="G17" s="33" t="str"/>
      <c r="H17" s="33" t="str"/>
      <c r="I17" s="31">
        <f>IF(OR(A17="",B17&lt;&gt;"Triggered",F17="",H17=""),"",H17-F17)</f>
        <v/>
      </c>
      <c r="J17" s="31">
        <f>IF(OR(A17="",B17&lt;&gt;"Triggered",G17="",H17=""),"",H17-G17)</f>
        <v/>
      </c>
      <c r="K17" s="17">
        <f>IF(A17="","",IF(B17="Not applicable","Not applicable",IF(B17="Not triggered","Not triggered",IF(B17="Unknown","Unresolved, evidence missing",IF(L17="Confidential-reviewable","Unresolved, confidential but reviewable",IF(L17="Contested","Unresolved, contested",IF(COUNTIFS('Stress Cases'!$K$4:$K$12,"Credit Collateral",'Stress Cases'!$L$4:$L$12,A17,'Stress Cases'!$I$4:$I$12,"Failed under stress")&gt;0,"Failed under linked stress case",IF(COUNTIFS('Stress Cases'!$K$4:$K$12,"Credit Collateral",'Stress Cases'!$L$4:$L$12,A17,'Stress Cases'!$I$4:$I$12,"Unresolved*")&gt;0,"Unresolved, linked stress missing",IF(OR(F17="",H17=""),"Unresolved, evidence missing",IF(AND(H17&gt;0,S17=""),"Unresolved, resource origin missing",IF(OR(ISNUMBER(SEARCH("No evidence",Q17)),ISNUMBER(SEARCH("Missing substantive",Q17)),ISNUMBER(SEARCH("Contested substantive",Q17))),"Unresolved, evidence missing",IF(AND(R17="Yes",S17&lt;&gt;"Public-welfare transfer"),"Unresolved, cross-ledger transfer missing",IF(I17&lt;0,"Failed under stress",IF(AND(J17&lt;&gt;"",J17&lt;0),"Conditional pass","Pass"))))))))))))))</f>
        <v/>
      </c>
      <c r="L17" s="32" t="str"/>
      <c r="M17" s="32" t="str"/>
      <c r="N17" s="32" t="str"/>
      <c r="O17" s="32" t="str"/>
      <c r="P17" s="32" t="str"/>
      <c r="Q17" s="17">
        <f>IF(A17="","",IF(P17="","No evidence ID",IFERROR(IF(VLOOKUP(P17,'Evidence Register'!A:M,11,FALSE)="Missing","Missing substantive evidence",IF(VLOOKUP(P17,'Evidence Register'!A:M,11,FALSE)="Contested","Contested substantive evidence",IF(VLOOKUP(P17,'Evidence Register'!A:M,10,FALSE)="Pinned","Pinned evidence",IF(VLOOKUP(P17,'Evidence Register'!A:M,10,FALSE)="Confidential-reviewable","Reviewable evidence","Pin issue: "&amp;VLOOKUP(P17,'Evidence Register'!A:M,10,FALSE))))),"Missing evidence ID")))</f>
        <v/>
      </c>
      <c r="R17" s="17">
        <f>IF(A17="","",IF(OR(H17="",H17=0),"",IF(S17="","Missing origin",IF(S17&lt;&gt;"Credit Collateral","Yes","No"))))</f>
        <v/>
      </c>
      <c r="S17" s="32" t="str"/>
      <c r="T17" s="32" t="str"/>
    </row>
    <row r="18" ht="15" customHeight="1">
      <c r="A18" s="15" t="str"/>
      <c r="B18" s="32" t="str"/>
      <c r="C18" s="32" t="str"/>
      <c r="D18" s="32" t="str"/>
      <c r="E18" s="32" t="str"/>
      <c r="F18" s="33" t="str"/>
      <c r="G18" s="33" t="str"/>
      <c r="H18" s="33" t="str"/>
      <c r="I18" s="31">
        <f>IF(OR(A18="",B18&lt;&gt;"Triggered",F18="",H18=""),"",H18-F18)</f>
        <v/>
      </c>
      <c r="J18" s="31">
        <f>IF(OR(A18="",B18&lt;&gt;"Triggered",G18="",H18=""),"",H18-G18)</f>
        <v/>
      </c>
      <c r="K18" s="17">
        <f>IF(A18="","",IF(B18="Not applicable","Not applicable",IF(B18="Not triggered","Not triggered",IF(B18="Unknown","Unresolved, evidence missing",IF(L18="Confidential-reviewable","Unresolved, confidential but reviewable",IF(L18="Contested","Unresolved, contested",IF(COUNTIFS('Stress Cases'!$K$4:$K$12,"Credit Collateral",'Stress Cases'!$L$4:$L$12,A18,'Stress Cases'!$I$4:$I$12,"Failed under stress")&gt;0,"Failed under linked stress case",IF(COUNTIFS('Stress Cases'!$K$4:$K$12,"Credit Collateral",'Stress Cases'!$L$4:$L$12,A18,'Stress Cases'!$I$4:$I$12,"Unresolved*")&gt;0,"Unresolved, linked stress missing",IF(OR(F18="",H18=""),"Unresolved, evidence missing",IF(AND(H18&gt;0,S18=""),"Unresolved, resource origin missing",IF(OR(ISNUMBER(SEARCH("No evidence",Q18)),ISNUMBER(SEARCH("Missing substantive",Q18)),ISNUMBER(SEARCH("Contested substantive",Q18))),"Unresolved, evidence missing",IF(AND(R18="Yes",S18&lt;&gt;"Public-welfare transfer"),"Unresolved, cross-ledger transfer missing",IF(I18&lt;0,"Failed under stress",IF(AND(J18&lt;&gt;"",J18&lt;0),"Conditional pass","Pass"))))))))))))))</f>
        <v/>
      </c>
      <c r="L18" s="32" t="str"/>
      <c r="M18" s="32" t="str"/>
      <c r="N18" s="32" t="str"/>
      <c r="O18" s="32" t="str"/>
      <c r="P18" s="32" t="str"/>
      <c r="Q18" s="17">
        <f>IF(A18="","",IF(P18="","No evidence ID",IFERROR(IF(VLOOKUP(P18,'Evidence Register'!A:M,11,FALSE)="Missing","Missing substantive evidence",IF(VLOOKUP(P18,'Evidence Register'!A:M,11,FALSE)="Contested","Contested substantive evidence",IF(VLOOKUP(P18,'Evidence Register'!A:M,10,FALSE)="Pinned","Pinned evidence",IF(VLOOKUP(P18,'Evidence Register'!A:M,10,FALSE)="Confidential-reviewable","Reviewable evidence","Pin issue: "&amp;VLOOKUP(P18,'Evidence Register'!A:M,10,FALSE))))),"Missing evidence ID")))</f>
        <v/>
      </c>
      <c r="R18" s="17">
        <f>IF(A18="","",IF(OR(H18="",H18=0),"",IF(S18="","Missing origin",IF(S18&lt;&gt;"Credit Collateral","Yes","No"))))</f>
        <v/>
      </c>
      <c r="S18" s="32" t="str"/>
      <c r="T18" s="32" t="str"/>
    </row>
    <row r="19" ht="15" customHeight="1">
      <c r="A19" s="15" t="str"/>
      <c r="B19" s="32" t="str"/>
      <c r="C19" s="32" t="str"/>
      <c r="D19" s="32" t="str"/>
      <c r="E19" s="32" t="str"/>
      <c r="F19" s="33" t="str"/>
      <c r="G19" s="33" t="str"/>
      <c r="H19" s="33" t="str"/>
      <c r="I19" s="31">
        <f>IF(OR(A19="",B19&lt;&gt;"Triggered",F19="",H19=""),"",H19-F19)</f>
        <v/>
      </c>
      <c r="J19" s="31">
        <f>IF(OR(A19="",B19&lt;&gt;"Triggered",G19="",H19=""),"",H19-G19)</f>
        <v/>
      </c>
      <c r="K19" s="17">
        <f>IF(A19="","",IF(B19="Not applicable","Not applicable",IF(B19="Not triggered","Not triggered",IF(B19="Unknown","Unresolved, evidence missing",IF(L19="Confidential-reviewable","Unresolved, confidential but reviewable",IF(L19="Contested","Unresolved, contested",IF(COUNTIFS('Stress Cases'!$K$4:$K$12,"Credit Collateral",'Stress Cases'!$L$4:$L$12,A19,'Stress Cases'!$I$4:$I$12,"Failed under stress")&gt;0,"Failed under linked stress case",IF(COUNTIFS('Stress Cases'!$K$4:$K$12,"Credit Collateral",'Stress Cases'!$L$4:$L$12,A19,'Stress Cases'!$I$4:$I$12,"Unresolved*")&gt;0,"Unresolved, linked stress missing",IF(OR(F19="",H19=""),"Unresolved, evidence missing",IF(AND(H19&gt;0,S19=""),"Unresolved, resource origin missing",IF(OR(ISNUMBER(SEARCH("No evidence",Q19)),ISNUMBER(SEARCH("Missing substantive",Q19)),ISNUMBER(SEARCH("Contested substantive",Q19))),"Unresolved, evidence missing",IF(AND(R19="Yes",S19&lt;&gt;"Public-welfare transfer"),"Unresolved, cross-ledger transfer missing",IF(I19&lt;0,"Failed under stress",IF(AND(J19&lt;&gt;"",J19&lt;0),"Conditional pass","Pass"))))))))))))))</f>
        <v/>
      </c>
      <c r="L19" s="32" t="str"/>
      <c r="M19" s="32" t="str"/>
      <c r="N19" s="32" t="str"/>
      <c r="O19" s="32" t="str"/>
      <c r="P19" s="32" t="str"/>
      <c r="Q19" s="17">
        <f>IF(A19="","",IF(P19="","No evidence ID",IFERROR(IF(VLOOKUP(P19,'Evidence Register'!A:M,11,FALSE)="Missing","Missing substantive evidence",IF(VLOOKUP(P19,'Evidence Register'!A:M,11,FALSE)="Contested","Contested substantive evidence",IF(VLOOKUP(P19,'Evidence Register'!A:M,10,FALSE)="Pinned","Pinned evidence",IF(VLOOKUP(P19,'Evidence Register'!A:M,10,FALSE)="Confidential-reviewable","Reviewable evidence","Pin issue: "&amp;VLOOKUP(P19,'Evidence Register'!A:M,10,FALSE))))),"Missing evidence ID")))</f>
        <v/>
      </c>
      <c r="R19" s="17">
        <f>IF(A19="","",IF(OR(H19="",H19=0),"",IF(S19="","Missing origin",IF(S19&lt;&gt;"Credit Collateral","Yes","No"))))</f>
        <v/>
      </c>
      <c r="S19" s="32" t="str"/>
      <c r="T19" s="32" t="str"/>
    </row>
    <row r="20" ht="15" customHeight="1">
      <c r="A20" s="15" t="str"/>
      <c r="B20" s="32" t="str"/>
      <c r="C20" s="32" t="str"/>
      <c r="D20" s="32" t="str"/>
      <c r="E20" s="32" t="str"/>
      <c r="F20" s="33" t="str"/>
      <c r="G20" s="33" t="str"/>
      <c r="H20" s="33" t="str"/>
      <c r="I20" s="31">
        <f>IF(OR(A20="",B20&lt;&gt;"Triggered",F20="",H20=""),"",H20-F20)</f>
        <v/>
      </c>
      <c r="J20" s="31">
        <f>IF(OR(A20="",B20&lt;&gt;"Triggered",G20="",H20=""),"",H20-G20)</f>
        <v/>
      </c>
      <c r="K20" s="17">
        <f>IF(A20="","",IF(B20="Not applicable","Not applicable",IF(B20="Not triggered","Not triggered",IF(B20="Unknown","Unresolved, evidence missing",IF(L20="Confidential-reviewable","Unresolved, confidential but reviewable",IF(L20="Contested","Unresolved, contested",IF(COUNTIFS('Stress Cases'!$K$4:$K$12,"Credit Collateral",'Stress Cases'!$L$4:$L$12,A20,'Stress Cases'!$I$4:$I$12,"Failed under stress")&gt;0,"Failed under linked stress case",IF(COUNTIFS('Stress Cases'!$K$4:$K$12,"Credit Collateral",'Stress Cases'!$L$4:$L$12,A20,'Stress Cases'!$I$4:$I$12,"Unresolved*")&gt;0,"Unresolved, linked stress missing",IF(OR(F20="",H20=""),"Unresolved, evidence missing",IF(AND(H20&gt;0,S20=""),"Unresolved, resource origin missing",IF(OR(ISNUMBER(SEARCH("No evidence",Q20)),ISNUMBER(SEARCH("Missing substantive",Q20)),ISNUMBER(SEARCH("Contested substantive",Q20))),"Unresolved, evidence missing",IF(AND(R20="Yes",S20&lt;&gt;"Public-welfare transfer"),"Unresolved, cross-ledger transfer missing",IF(I20&lt;0,"Failed under stress",IF(AND(J20&lt;&gt;"",J20&lt;0),"Conditional pass","Pass"))))))))))))))</f>
        <v/>
      </c>
      <c r="L20" s="32" t="str"/>
      <c r="M20" s="32" t="str"/>
      <c r="N20" s="32" t="str"/>
      <c r="O20" s="32" t="str"/>
      <c r="P20" s="32" t="str"/>
      <c r="Q20" s="17">
        <f>IF(A20="","",IF(P20="","No evidence ID",IFERROR(IF(VLOOKUP(P20,'Evidence Register'!A:M,11,FALSE)="Missing","Missing substantive evidence",IF(VLOOKUP(P20,'Evidence Register'!A:M,11,FALSE)="Contested","Contested substantive evidence",IF(VLOOKUP(P20,'Evidence Register'!A:M,10,FALSE)="Pinned","Pinned evidence",IF(VLOOKUP(P20,'Evidence Register'!A:M,10,FALSE)="Confidential-reviewable","Reviewable evidence","Pin issue: "&amp;VLOOKUP(P20,'Evidence Register'!A:M,10,FALSE))))),"Missing evidence ID")))</f>
        <v/>
      </c>
      <c r="R20" s="17">
        <f>IF(A20="","",IF(OR(H20="",H20=0),"",IF(S20="","Missing origin",IF(S20&lt;&gt;"Credit Collateral","Yes","No"))))</f>
        <v/>
      </c>
      <c r="S20" s="32" t="str"/>
      <c r="T20" s="32" t="str"/>
    </row>
    <row r="21" ht="15" customHeight="1">
      <c r="A21" s="15" t="str"/>
      <c r="B21" s="32" t="str"/>
      <c r="C21" s="32" t="str"/>
      <c r="D21" s="32" t="str"/>
      <c r="E21" s="32" t="str"/>
      <c r="F21" s="33" t="str"/>
      <c r="G21" s="33" t="str"/>
      <c r="H21" s="33" t="str"/>
      <c r="I21" s="31">
        <f>IF(OR(A21="",B21&lt;&gt;"Triggered",F21="",H21=""),"",H21-F21)</f>
        <v/>
      </c>
      <c r="J21" s="31">
        <f>IF(OR(A21="",B21&lt;&gt;"Triggered",G21="",H21=""),"",H21-G21)</f>
        <v/>
      </c>
      <c r="K21" s="17">
        <f>IF(A21="","",IF(B21="Not applicable","Not applicable",IF(B21="Not triggered","Not triggered",IF(B21="Unknown","Unresolved, evidence missing",IF(L21="Confidential-reviewable","Unresolved, confidential but reviewable",IF(L21="Contested","Unresolved, contested",IF(COUNTIFS('Stress Cases'!$K$4:$K$12,"Credit Collateral",'Stress Cases'!$L$4:$L$12,A21,'Stress Cases'!$I$4:$I$12,"Failed under stress")&gt;0,"Failed under linked stress case",IF(COUNTIFS('Stress Cases'!$K$4:$K$12,"Credit Collateral",'Stress Cases'!$L$4:$L$12,A21,'Stress Cases'!$I$4:$I$12,"Unresolved*")&gt;0,"Unresolved, linked stress missing",IF(OR(F21="",H21=""),"Unresolved, evidence missing",IF(AND(H21&gt;0,S21=""),"Unresolved, resource origin missing",IF(OR(ISNUMBER(SEARCH("No evidence",Q21)),ISNUMBER(SEARCH("Missing substantive",Q21)),ISNUMBER(SEARCH("Contested substantive",Q21))),"Unresolved, evidence missing",IF(AND(R21="Yes",S21&lt;&gt;"Public-welfare transfer"),"Unresolved, cross-ledger transfer missing",IF(I21&lt;0,"Failed under stress",IF(AND(J21&lt;&gt;"",J21&lt;0),"Conditional pass","Pass"))))))))))))))</f>
        <v/>
      </c>
      <c r="L21" s="32" t="str"/>
      <c r="M21" s="32" t="str"/>
      <c r="N21" s="32" t="str"/>
      <c r="O21" s="32" t="str"/>
      <c r="P21" s="32" t="str"/>
      <c r="Q21" s="17">
        <f>IF(A21="","",IF(P21="","No evidence ID",IFERROR(IF(VLOOKUP(P21,'Evidence Register'!A:M,11,FALSE)="Missing","Missing substantive evidence",IF(VLOOKUP(P21,'Evidence Register'!A:M,11,FALSE)="Contested","Contested substantive evidence",IF(VLOOKUP(P21,'Evidence Register'!A:M,10,FALSE)="Pinned","Pinned evidence",IF(VLOOKUP(P21,'Evidence Register'!A:M,10,FALSE)="Confidential-reviewable","Reviewable evidence","Pin issue: "&amp;VLOOKUP(P21,'Evidence Register'!A:M,10,FALSE))))),"Missing evidence ID")))</f>
        <v/>
      </c>
      <c r="R21" s="17">
        <f>IF(A21="","",IF(OR(H21="",H21=0),"",IF(S21="","Missing origin",IF(S21&lt;&gt;"Credit Collateral","Yes","No"))))</f>
        <v/>
      </c>
      <c r="S21" s="32" t="str"/>
      <c r="T21" s="32" t="str"/>
    </row>
    <row r="22" ht="39.59999847412109" customHeight="1">
      <c r="A22" s="28" t="inlineStr">
        <is>
          <t>Total / dashboard line</t>
        </is>
      </c>
      <c r="B22" s="28" t="str"/>
      <c r="C22" s="28" t="str"/>
      <c r="D22" s="28" t="str"/>
      <c r="E22" s="28" t="str"/>
      <c r="F22" s="34">
        <f>IF(COUNTIF(B4:B21,"Triggered")=0,"",SUM(F4:F21))</f>
        <v/>
      </c>
      <c r="G22" s="34">
        <f>IF(COUNTIF(B4:B21,"Triggered")=0,"",IF(COUNT(G4:G21)=0,"",SUM(G4:G21)))</f>
        <v/>
      </c>
      <c r="H22" s="34">
        <f>IF(COUNTIF(B4:B21,"Triggered")=0,"",SUM(H4:H21))</f>
        <v/>
      </c>
      <c r="I22" s="34">
        <f>IF(F22="","",H22-F22)</f>
        <v/>
      </c>
      <c r="J22" s="34">
        <f>IF(OR(G22="",H22=""),"",H22-G22)</f>
        <v/>
      </c>
      <c r="K22" s="30">
        <f>IF(COUNTIF(B4:B21,"Triggered")=0,"No entries yet",IF(COUNTIF(K4:K21,"*Failed*")&gt;0,"Failed under stress",IF(COUNTIF(K4:K21,"Unresolved*")&gt;0,"Unresolved",IF(COUNTIF(K4:K21,"Conditional pass")&gt;0,"Conditional pass",IF(I22&lt;0,"Failed under stress",IF(AND(J22&lt;&gt;"",J22&lt;0),"Conditional pass","Pass"))))))</f>
        <v/>
      </c>
      <c r="L22" s="28" t="str"/>
      <c r="M22" s="28" t="str"/>
      <c r="N22" s="28" t="str"/>
      <c r="O22" s="28" t="str"/>
      <c r="P22" s="28" t="str"/>
      <c r="Q22" s="30" t="str"/>
      <c r="R22" s="30">
        <f>IF(OR(COUNTIFS(B4:B21,"Triggered",R4:R21,"Yes")&gt;0,COUNTIFS(B4:B21,"Triggered",R4:R21,"Missing origin")&gt;0),"Flag: cross-ledger or origin issue",IF(OR(COUNTIFS(B4:B21,"Triggered",Q4:Q21,"Missing evidence ID")&gt;0,COUNTIFS(B4:B21,"Triggered",Q4:Q21,"Needs pin*")&gt;0,COUNTIFS(B4:B21,"Triggered",Q4:Q21,"No evidence ID")&gt;0),"Flag: evidence pin incomplete",""))</f>
        <v/>
      </c>
      <c r="S22" s="28" t="str"/>
      <c r="T22" s="28" t="str"/>
    </row>
    <row r="23" ht="15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</row>
    <row r="24" ht="15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</row>
  </sheetData>
  <sheetProtection selectLockedCells="0" selectUnlockedCells="1" sheet="1" objects="0" insertRows="0" insertHyperlinks="1" autoFilter="1" scenarios="0" formatColumns="0" deleteColumns="1" insertColumns="1" pivotTables="1" deleteRows="0" formatCells="1" formatRows="0" sort="1"/>
  <dataValidations count="5">
    <dataValidation sqref="B4:B21" showDropDown="0" showInputMessage="0" showErrorMessage="0" allowBlank="1" type="list">
      <formula1>"Triggered,Not triggered,Not applicable,Unknown"</formula1>
    </dataValidation>
    <dataValidation sqref="D4:D21" showDropDown="0" showInputMessage="0" showErrorMessage="0" allowBlank="1" type="list">
      <formula1>"Settled cash,Callable secured credit,Enforceable scoped promise,Unsecured promise,Narrative-only promise,Unaccredited performance claim,Strong / Medium / Proxy / Unknown"</formula1>
    </dataValidation>
    <dataValidation sqref="L4:L21" showDropDown="0" showInputMessage="0" showErrorMessage="0" allowBlank="1" type="list">
      <formula1>"Public,Confidential-reviewable,Proxy,Missing,Contested"</formula1>
    </dataValidation>
    <dataValidation sqref="P4:P21" showDropDown="0" showInputMessage="0" showErrorMessage="0" allowBlank="1" type="list">
      <formula1>"EV-001,EV-002,EV-003,EV-004,EV-005,EV-006,EV-007,EV-008,EV-009,EV-010,EV-011,EV-012,EV-013,EV-014,EV-015,EV-016,EV-017,EV-018,EV-019,EV-020,EV-021,EV-022,EV-023,EV-024,EV-025,EV-026,EV-027,EV-028,EV-029,EV-030,EV-031,EV-032,EV-033,EV-034,EV-035,EV-036,EV-037,EV-038,EV-039,EV-040,EV-041,EV-042,EV-043,EV-044,EV-045,EV-046,EV-047,EV-048,EV-049,EV-050,EV-051,EV-052,EV-053,EV-054,EV-055,EV-056,EV-057,EV-058,EV-059,EV-060"</formula1>
    </dataValidation>
    <dataValidation sqref="S4:S21" showDropDown="0" showInputMessage="0" showErrorMessage="0" allowBlank="1" type="list">
      <formula1>"Electric Ledger,RTO Capacity,Local Fiscal,Water Env,Credit Collateral,Distributional,Public-welfare transfer"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8.88999938964844" customWidth="1" min="1" max="1"/>
    <col width="18.88999938964844" customWidth="1" min="2" max="2"/>
    <col width="18.88999938964844" customWidth="1" min="3" max="3"/>
    <col width="18.88999938964844" customWidth="1" min="4" max="4"/>
    <col width="18.88999938964844" customWidth="1" min="5" max="5"/>
    <col width="18.88999938964844" customWidth="1" min="6" max="6"/>
    <col width="18.88999938964844" customWidth="1" min="7" max="7"/>
    <col width="18.88999938964844" customWidth="1" min="8" max="8"/>
    <col width="18.88999938964844" customWidth="1" min="9" max="9"/>
  </cols>
  <sheetData>
    <row r="1" ht="50.40000152587891" customHeight="1">
      <c r="A1" s="4" t="inlineStr">
        <is>
          <t>Distributional Ledger</t>
        </is>
      </c>
      <c r="B1" s="4" t="str"/>
      <c r="C1" s="4" t="str"/>
      <c r="D1" s="4" t="str"/>
      <c r="E1" s="4" t="str"/>
      <c r="F1" s="4" t="str"/>
      <c r="G1" s="4" t="str"/>
      <c r="H1" s="4" t="str"/>
      <c r="I1" s="4" t="str"/>
    </row>
    <row r="2" ht="15" customHeight="1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</row>
    <row r="3" ht="39.59999847412109" customHeight="1">
      <c r="A3" s="8" t="inlineStr">
        <is>
          <t>Question</t>
        </is>
      </c>
      <c r="B3" s="8" t="inlineStr">
        <is>
          <t>Affected group</t>
        </is>
      </c>
      <c r="C3" s="8" t="inlineStr">
        <is>
          <t>Materiality trigger</t>
        </is>
      </c>
      <c r="D3" s="8" t="inlineStr">
        <is>
          <t>Evidence</t>
        </is>
      </c>
      <c r="E3" s="8" t="inlineStr">
        <is>
          <t>Material? (Y/N/Unknown)</t>
        </is>
      </c>
      <c r="F3" s="8" t="inlineStr">
        <is>
          <t>Mitigation</t>
        </is>
      </c>
      <c r="G3" s="8" t="inlineStr">
        <is>
          <t>Residual claimant</t>
        </is>
      </c>
      <c r="H3" s="8" t="inlineStr">
        <is>
          <t>Evidence ID</t>
        </is>
      </c>
      <c r="I3" s="8" t="inlineStr">
        <is>
          <t>Status</t>
        </is>
      </c>
    </row>
    <row r="4" ht="118.8000030517578" customHeight="1">
      <c r="A4" s="15" t="inlineStr">
        <is>
          <t>Low-income bill burden</t>
        </is>
      </c>
      <c r="B4" s="32" t="str"/>
      <c r="C4" s="32" t="inlineStr">
        <is>
          <t>Bill impact materially raises energy burden or exceeds affordability threshold</t>
        </is>
      </c>
      <c r="D4" s="32" t="str"/>
      <c r="E4" s="32" t="inlineStr">
        <is>
          <t>Unknown</t>
        </is>
      </c>
      <c r="F4" s="32" t="str"/>
      <c r="G4" s="32" t="str"/>
      <c r="H4" s="32" t="str"/>
      <c r="I4" s="17">
        <f>IF(E4="Y",IF(F4="","Unresolved, mitigation missing","Conditional pass"),IF(E4="N","Pass","Unresolved, evidence missing"))</f>
        <v/>
      </c>
    </row>
    <row r="5" ht="105.5999984741211" customHeight="1">
      <c r="A5" s="15" t="inlineStr">
        <is>
          <t>Small business exposure</t>
        </is>
      </c>
      <c r="B5" s="32" t="str"/>
      <c r="C5" s="32" t="inlineStr">
        <is>
          <t>Class allocation or demand-charge exposure materially increases</t>
        </is>
      </c>
      <c r="D5" s="32" t="str"/>
      <c r="E5" s="32" t="inlineStr">
        <is>
          <t>Unknown</t>
        </is>
      </c>
      <c r="F5" s="32" t="str"/>
      <c r="G5" s="32" t="str"/>
      <c r="H5" s="32" t="str"/>
      <c r="I5" s="17">
        <f>IF(E5="Y",IF(F5="","Unresolved, mitigation missing","Conditional pass"),IF(E5="N","Pass","Unresolved, evidence missing"))</f>
        <v/>
      </c>
    </row>
    <row r="6" ht="118.8000030517578" customHeight="1">
      <c r="A6" s="15" t="inlineStr">
        <is>
          <t>School-district fiscal effect</t>
        </is>
      </c>
      <c r="B6" s="32" t="str"/>
      <c r="C6" s="32" t="inlineStr">
        <is>
          <t>Abatement/PILOT produces school revenue loss above budget/per-pupil threshold</t>
        </is>
      </c>
      <c r="D6" s="32" t="str"/>
      <c r="E6" s="32" t="inlineStr">
        <is>
          <t>Unknown</t>
        </is>
      </c>
      <c r="F6" s="32" t="str"/>
      <c r="G6" s="32" t="str"/>
      <c r="H6" s="32" t="str"/>
      <c r="I6" s="17">
        <f>IF(E6="Y",IF(F6="","Unresolved, mitigation missing","Conditional pass"),IF(E6="N","Pass","Unresolved, evidence missing"))</f>
        <v/>
      </c>
    </row>
    <row r="7" ht="118.8000030517578" customHeight="1">
      <c r="A7" s="15" t="inlineStr">
        <is>
          <t>Water users vs electric ratepayers</t>
        </is>
      </c>
      <c r="B7" s="32" t="str"/>
      <c r="C7" s="32" t="inlineStr">
        <is>
          <t>Existing water users carry bond risk not covered by project minimum payment</t>
        </is>
      </c>
      <c r="D7" s="32" t="str"/>
      <c r="E7" s="32" t="inlineStr">
        <is>
          <t>Unknown</t>
        </is>
      </c>
      <c r="F7" s="32" t="str"/>
      <c r="G7" s="32" t="str"/>
      <c r="H7" s="32" t="str"/>
      <c r="I7" s="17">
        <f>IF(E7="Y",IF(F7="","Unresolved, mitigation missing","Conditional pass"),IF(E7="N","Pass","Unresolved, evidence missing"))</f>
        <v/>
      </c>
    </row>
    <row r="8" ht="132" customHeight="1">
      <c r="A8" s="15" t="inlineStr">
        <is>
          <t>Nearby residents</t>
        </is>
      </c>
      <c r="B8" s="32" t="str"/>
      <c r="C8" s="32" t="inlineStr">
        <is>
          <t>Noise, emissions, transmission, traffic, or land-use burden reaches mitigation trigger</t>
        </is>
      </c>
      <c r="D8" s="32" t="str"/>
      <c r="E8" s="32" t="inlineStr">
        <is>
          <t>Unknown</t>
        </is>
      </c>
      <c r="F8" s="32" t="str"/>
      <c r="G8" s="32" t="str"/>
      <c r="H8" s="32" t="str"/>
      <c r="I8" s="17">
        <f>IF(E8="Y",IF(F8="","Unresolved, mitigation missing","Conditional pass"),IF(E8="N","Pass","Unresolved, evidence missing"))</f>
        <v/>
      </c>
    </row>
    <row r="9" ht="92.40000152587891" customHeight="1">
      <c r="A9" s="15" t="inlineStr">
        <is>
          <t>Municipal / co-op customers</t>
        </is>
      </c>
      <c r="B9" s="32" t="str"/>
      <c r="C9" s="32" t="inlineStr">
        <is>
          <t>Wholesale pass-through or local board exposure affects members</t>
        </is>
      </c>
      <c r="D9" s="32" t="str"/>
      <c r="E9" s="32" t="inlineStr">
        <is>
          <t>Unknown</t>
        </is>
      </c>
      <c r="F9" s="32" t="str"/>
      <c r="G9" s="32" t="str"/>
      <c r="H9" s="32" t="str"/>
      <c r="I9" s="17">
        <f>IF(E9="Y",IF(F9="","Unresolved, mitigation missing","Conditional pass"),IF(E9="N","Pass","Unresolved, evidence missing"))</f>
        <v/>
      </c>
    </row>
    <row r="10" ht="79.19999694824219" customHeight="1">
      <c r="A10" s="15" t="inlineStr">
        <is>
          <t>Renters</t>
        </is>
      </c>
      <c r="B10" s="32" t="str"/>
      <c r="C10" s="32" t="inlineStr">
        <is>
          <t>Renters face bill exposure without property-tax benefit</t>
        </is>
      </c>
      <c r="D10" s="32" t="str"/>
      <c r="E10" s="32" t="inlineStr">
        <is>
          <t>Unknown</t>
        </is>
      </c>
      <c r="F10" s="32" t="str"/>
      <c r="G10" s="32" t="str"/>
      <c r="H10" s="32" t="str"/>
      <c r="I10" s="17">
        <f>IF(E10="Y",IF(F10="","Unresolved, mitigation missing","Conditional pass"),IF(E10="N","Pass","Unresolved, evidence missing"))</f>
        <v/>
      </c>
    </row>
    <row r="11" ht="118.8000030517578" customHeight="1">
      <c r="A11" s="15" t="inlineStr">
        <is>
          <t>Procedural access</t>
        </is>
      </c>
      <c r="B11" s="32" t="str"/>
      <c r="C11" s="32" t="inlineStr">
        <is>
          <t>Notice, language access, intervention funding, or protected review is missing</t>
        </is>
      </c>
      <c r="D11" s="32" t="str"/>
      <c r="E11" s="32" t="inlineStr">
        <is>
          <t>Unknown</t>
        </is>
      </c>
      <c r="F11" s="32" t="str"/>
      <c r="G11" s="32" t="str"/>
      <c r="H11" s="32" t="str"/>
      <c r="I11" s="17">
        <f>IF(E11="Y",IF(F11="","Unresolved, mitigation missing","Conditional pass"),IF(E11="N","Pass","Unresolved, evidence missing"))</f>
        <v/>
      </c>
    </row>
    <row r="12" ht="15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7" t="n"/>
    </row>
    <row r="13" ht="15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7" t="n"/>
    </row>
    <row r="14" ht="15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7" t="n"/>
    </row>
    <row r="15" ht="15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7" t="n"/>
    </row>
    <row r="16" ht="15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7" t="n"/>
    </row>
    <row r="17" ht="15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7" t="n"/>
    </row>
    <row r="18" ht="15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7" t="n"/>
    </row>
    <row r="19" ht="15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7" t="n"/>
    </row>
    <row r="20" ht="15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7" t="n"/>
    </row>
    <row r="21" ht="15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7" t="n"/>
    </row>
    <row r="22" ht="26.39999961853027" customHeight="1">
      <c r="A22" s="15" t="inlineStr">
        <is>
          <t>Dashboard line</t>
        </is>
      </c>
      <c r="B22" s="15" t="str"/>
      <c r="C22" s="15" t="str"/>
      <c r="D22" s="15" t="str"/>
      <c r="E22" s="15" t="str"/>
      <c r="F22" s="15" t="str"/>
      <c r="G22" s="15" t="str"/>
      <c r="H22" s="15" t="str"/>
      <c r="I22" s="17">
        <f>IF(COUNTIF(I4:I11,"Unresolved*")&gt;0,"Unresolved",IF(COUNTIF(I4:I11,"Conditional pass")&gt;0,"Conditional pass",IF(COUNTIF(I4:I11,"Pass")&gt;0,"Pass","No entries yet")))</f>
        <v/>
      </c>
    </row>
    <row r="23" ht="15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</sheetData>
  <sheetProtection selectLockedCells="0" selectUnlockedCells="1" sheet="1" objects="0" insertRows="0" insertHyperlinks="1" autoFilter="1" scenarios="0" formatColumns="0" deleteColumns="1" insertColumns="1" pivotTables="1" deleteRows="0" formatCells="1" formatRows="0" sort="1"/>
  <dataValidations count="2">
    <dataValidation sqref="E4:E11" showDropDown="0" showInputMessage="0" showErrorMessage="0" allowBlank="1" type="list">
      <formula1>"Y,N,Unknown"</formula1>
    </dataValidation>
    <dataValidation sqref="H4:H11" showDropDown="0" showInputMessage="0" showErrorMessage="0" allowBlank="1" type="list">
      <formula1>"EV-001,EV-002,EV-003,EV-004,EV-005,EV-006,EV-007,EV-008,EV-009,EV-010,EV-011,EV-012,EV-013,EV-014,EV-015,EV-016,EV-017,EV-018,EV-019,EV-020,EV-021,EV-022,EV-023,EV-024,EV-025,EV-026,EV-027,EV-028,EV-029,EV-030,EV-031,EV-032,EV-033,EV-034,EV-035,EV-036,EV-037,EV-038,EV-039,EV-040,EV-041,EV-042,EV-043,EV-044,EV-045,EV-046,EV-047,EV-048,EV-049,EV-050,EV-051,EV-052,EV-053,EV-054,EV-055,EV-056,EV-057,EV-058,EV-059,EV-060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8.32999992370605" customWidth="1" min="1" max="1"/>
    <col width="18.32999992370605" customWidth="1" min="2" max="2"/>
    <col width="18.32999992370605" customWidth="1" min="3" max="3"/>
    <col width="18.32999992370605" customWidth="1" min="4" max="4"/>
    <col width="18.32999992370605" customWidth="1" min="5" max="5"/>
    <col width="18.32999992370605" customWidth="1" min="6" max="6"/>
    <col width="18.32999992370605" customWidth="1" min="7" max="7"/>
    <col width="18.32999992370605" customWidth="1" min="8" max="8"/>
    <col width="18.32999992370605" customWidth="1" min="9" max="9"/>
    <col width="18.32999992370605" customWidth="1" min="10" max="10"/>
    <col width="18.32999992370605" customWidth="1" min="11" max="11"/>
    <col width="18.32999992370605" customWidth="1" min="12" max="12"/>
  </cols>
  <sheetData>
    <row r="1" ht="33.59999847412109" customHeight="1">
      <c r="A1" s="4" t="inlineStr">
        <is>
          <t>Stress Cases</t>
        </is>
      </c>
      <c r="B1" s="4" t="str"/>
      <c r="C1" s="4" t="str"/>
      <c r="D1" s="4" t="str"/>
      <c r="E1" s="4" t="str"/>
      <c r="F1" s="4" t="str"/>
      <c r="G1" s="4" t="str"/>
      <c r="H1" s="4" t="str"/>
      <c r="I1" s="4" t="str"/>
      <c r="J1" s="4" t="str"/>
      <c r="K1" s="4" t="str"/>
      <c r="L1" s="4" t="str"/>
    </row>
    <row r="2" ht="15" customHeight="1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</row>
    <row r="3" ht="39.59999847412109" customHeight="1">
      <c r="A3" s="8" t="inlineStr">
        <is>
          <t>Stress case</t>
        </is>
      </c>
      <c r="B3" s="8" t="inlineStr">
        <is>
          <t>Default required for</t>
        </is>
      </c>
      <c r="C3" s="8" t="inlineStr">
        <is>
          <t>Required? (auto)</t>
        </is>
      </c>
      <c r="D3" s="8" t="inlineStr">
        <is>
          <t>Exposure tested</t>
        </is>
      </c>
      <c r="E3" s="8" t="inlineStr">
        <is>
          <t>Settlement resource</t>
        </is>
      </c>
      <c r="F3" s="8" t="inlineStr">
        <is>
          <t>Evidence</t>
        </is>
      </c>
      <c r="G3" s="8" t="inlineStr">
        <is>
          <t>Gap</t>
        </is>
      </c>
      <c r="H3" s="8" t="inlineStr">
        <is>
          <t>Residual claimant</t>
        </is>
      </c>
      <c r="I3" s="8" t="inlineStr">
        <is>
          <t>Status</t>
        </is>
      </c>
      <c r="J3" s="8" t="inlineStr">
        <is>
          <t>Notes</t>
        </is>
      </c>
      <c r="K3" s="8" t="inlineStr">
        <is>
          <t>Affected ledger</t>
        </is>
      </c>
      <c r="L3" s="8" t="inlineStr">
        <is>
          <t>Linked ledger line</t>
        </is>
      </c>
    </row>
    <row r="4" ht="79.19999694824219" customHeight="1">
      <c r="A4" s="15" t="inlineStr">
        <is>
          <t>Two-year delay</t>
        </is>
      </c>
      <c r="B4" s="15" t="inlineStr">
        <is>
          <t>Most greenfield / forecast-reliance projects</t>
        </is>
      </c>
      <c r="C4" s="17">
        <f>IF(OR('Trigger Screen'!C6="Y",'Trigger Screen'!C7="Y",'Trigger Screen'!C8="Y",ISNUMBER(SEARCH("speculative",'Project Profile'!B9))),"Required",IF(COUNTIF('Trigger Screen'!C4:C10,"Unknown")&gt;0,"Check trigger","Optional"))</f>
        <v/>
      </c>
      <c r="D4" s="32" t="str"/>
      <c r="E4" s="32" t="str"/>
      <c r="F4" s="32" t="str"/>
      <c r="G4" s="32" t="str"/>
      <c r="H4" s="32" t="str"/>
      <c r="I4" s="35">
        <f>IF(C4="Required",IF(OR(D4="",E4="",G4="",K4="",L4=""),"Unresolved, evidence missing",IF(G4&lt;0,"Failed under stress","Pass")),IF(C4="Check trigger","Check trigger unresolved","Not triggered"))</f>
        <v/>
      </c>
      <c r="J4" s="32" t="str"/>
      <c r="K4" s="32" t="str"/>
      <c r="L4" s="32" t="str"/>
    </row>
    <row r="5" ht="66" customHeight="1">
      <c r="A5" s="15" t="inlineStr">
        <is>
          <t>60 percent realized load</t>
        </is>
      </c>
      <c r="B5" s="15" t="inlineStr">
        <is>
          <t>All projects seeking rate recovery</t>
        </is>
      </c>
      <c r="C5" s="17">
        <f>IF(OR('Trigger Screen'!C6="Y",'Trigger Screen'!C8="Y"),"Required",IF(COUNTIF('Trigger Screen'!C4:C10,"Unknown")&gt;0,"Check trigger","Optional"))</f>
        <v/>
      </c>
      <c r="D5" s="32" t="str"/>
      <c r="E5" s="32" t="str"/>
      <c r="F5" s="32" t="str"/>
      <c r="G5" s="32" t="str"/>
      <c r="H5" s="32" t="str"/>
      <c r="I5" s="35">
        <f>IF(C5="Required",IF(OR(D5="",E5="",G5="",K5="",L5=""),"Unresolved, evidence missing",IF(G5&lt;0,"Failed under stress","Pass")),IF(C5="Check trigger","Check trigger unresolved","Not triggered"))</f>
        <v/>
      </c>
      <c r="J5" s="32" t="str"/>
      <c r="K5" s="32" t="str"/>
      <c r="L5" s="32" t="str"/>
    </row>
    <row r="6" ht="52.79999923706055" customHeight="1">
      <c r="A6" s="15" t="inlineStr">
        <is>
          <t>Exit in year 5</t>
        </is>
      </c>
      <c r="B6" s="15" t="inlineStr">
        <is>
          <t>Utility-owned assets / public debt</t>
        </is>
      </c>
      <c r="C6" s="17">
        <f>IF(OR('Trigger Screen'!C6="Y",'Trigger Screen'!C8="Y",'Trigger Screen'!C10="Y"),"Required",IF(COUNTIF('Trigger Screen'!C4:C10,"Unknown")&gt;0,"Check trigger","Optional"))</f>
        <v/>
      </c>
      <c r="D6" s="32" t="str"/>
      <c r="E6" s="32" t="str"/>
      <c r="F6" s="32" t="str"/>
      <c r="G6" s="32" t="str"/>
      <c r="H6" s="32" t="str"/>
      <c r="I6" s="35">
        <f>IF(C6="Required",IF(OR(D6="",E6="",G6="",K6="",L6=""),"Unresolved, evidence missing",IF(G6&lt;0,"Failed under stress","Pass")),IF(C6="Check trigger","Check trigger unresolved","Not triggered"))</f>
        <v/>
      </c>
      <c r="J6" s="32" t="str"/>
      <c r="K6" s="32" t="str"/>
      <c r="L6" s="32" t="str"/>
    </row>
    <row r="7" ht="66" customHeight="1">
      <c r="A7" s="15" t="inlineStr">
        <is>
          <t>Credit downgrade or affiliate default</t>
        </is>
      </c>
      <c r="B7" s="15" t="inlineStr">
        <is>
          <t>Parent / affiliate support</t>
        </is>
      </c>
      <c r="C7" s="17">
        <f>IF(OR('Trigger Screen'!C9="Y",ISNUMBER(SEARCH("colo",'Project Profile'!B9)),ISNUMBER(SEARCH("affiliate",'Project Profile'!B9))),"Required",IF(COUNTIF('Trigger Screen'!C4:C10,"Unknown")&gt;0,"Check trigger","Optional"))</f>
        <v/>
      </c>
      <c r="D7" s="32" t="str"/>
      <c r="E7" s="32" t="str"/>
      <c r="F7" s="32" t="str"/>
      <c r="G7" s="32" t="str"/>
      <c r="H7" s="32" t="str"/>
      <c r="I7" s="35">
        <f>IF(C7="Required",IF(OR(D7="",E7="",G7="",K7="",L7=""),"Unresolved, evidence missing",IF(G7&lt;0,"Failed under stress","Pass")),IF(C7="Check trigger","Check trigger unresolved","Not triggered"))</f>
        <v/>
      </c>
      <c r="J7" s="32" t="str"/>
      <c r="K7" s="32" t="str"/>
      <c r="L7" s="32" t="str"/>
    </row>
    <row r="8" ht="52.79999923706055" customHeight="1">
      <c r="A8" s="15" t="inlineStr">
        <is>
          <t>Regional capacity price shock</t>
        </is>
      </c>
      <c r="B8" s="15" t="inlineStr">
        <is>
          <t>RTO / capacity market regions</t>
        </is>
      </c>
      <c r="C8" s="17">
        <f>IF(OR('Project Profile'!B6&lt;&gt;"",'Trigger Screen'!C7="Y"),"Required",IF(COUNTIF('Trigger Screen'!C4:C10,"Unknown")&gt;0,"Check trigger","Optional"))</f>
        <v/>
      </c>
      <c r="D8" s="32" t="str"/>
      <c r="E8" s="32" t="str"/>
      <c r="F8" s="32" t="str"/>
      <c r="G8" s="32" t="str"/>
      <c r="H8" s="32" t="str"/>
      <c r="I8" s="35">
        <f>IF(C8="Required",IF(OR(D8="",E8="",G8="",K8="",L8=""),"Unresolved, evidence missing",IF(G8&lt;0,"Failed under stress","Pass")),IF(C8="Check trigger","Check trigger unresolved","Not triggered"))</f>
        <v/>
      </c>
      <c r="J8" s="32" t="str"/>
      <c r="K8" s="32" t="str"/>
      <c r="L8" s="32" t="str"/>
    </row>
    <row r="9" ht="39.59999847412109" customHeight="1">
      <c r="A9" s="15" t="inlineStr">
        <is>
          <t>Curtailment failure</t>
        </is>
      </c>
      <c r="B9" s="15" t="inlineStr">
        <is>
          <t>Flexible / interruptible load</t>
        </is>
      </c>
      <c r="C9" s="17">
        <f>IF(ISNUMBER(SEARCH("flexible",'Project Profile'!B9)),"Required",IF(COUNTIF('Trigger Screen'!C4:C10,"Unknown")&gt;0,"Check trigger","Optional"))</f>
        <v/>
      </c>
      <c r="D9" s="32" t="str"/>
      <c r="E9" s="32" t="str"/>
      <c r="F9" s="32" t="str"/>
      <c r="G9" s="32" t="str"/>
      <c r="H9" s="32" t="str"/>
      <c r="I9" s="35">
        <f>IF(C9="Required",IF(OR(D9="",E9="",G9="",K9="",L9=""),"Unresolved, evidence missing",IF(G9&lt;0,"Failed under stress","Pass")),IF(C9="Check trigger","Check trigger unresolved","Not triggered"))</f>
        <v/>
      </c>
      <c r="J9" s="32" t="str"/>
      <c r="K9" s="32" t="str"/>
      <c r="L9" s="32" t="str"/>
    </row>
    <row r="10" ht="52.79999923706055" customHeight="1">
      <c r="A10" s="15" t="inlineStr">
        <is>
          <t>Local infrastructure underuse</t>
        </is>
      </c>
      <c r="B10" s="15" t="inlineStr">
        <is>
          <t>Water / road / public debt</t>
        </is>
      </c>
      <c r="C10" s="17">
        <f>IF('Trigger Screen'!C10="Y","Required",IF(COUNTIF('Trigger Screen'!C4:C10,"Unknown")&gt;0,"Check trigger","Optional"))</f>
        <v/>
      </c>
      <c r="D10" s="32" t="str"/>
      <c r="E10" s="32" t="str"/>
      <c r="F10" s="32" t="str"/>
      <c r="G10" s="32" t="str"/>
      <c r="H10" s="32" t="str"/>
      <c r="I10" s="35">
        <f>IF(C10="Required",IF(OR(D10="",E10="",G10="",K10="",L10=""),"Unresolved, evidence missing",IF(G10&lt;0,"Failed under stress","Pass")),IF(C10="Check trigger","Check trigger unresolved","Not triggered"))</f>
        <v/>
      </c>
      <c r="J10" s="32" t="str"/>
      <c r="K10" s="32" t="str"/>
      <c r="L10" s="32" t="str"/>
    </row>
    <row r="11" ht="39.59999847412109" customHeight="1">
      <c r="A11" s="15" t="inlineStr">
        <is>
          <t>Tenant departure</t>
        </is>
      </c>
      <c r="B11" s="15" t="inlineStr">
        <is>
          <t>Colocation / lease</t>
        </is>
      </c>
      <c r="C11" s="17">
        <f>IF(ISNUMBER(SEARCH("colo",'Project Profile'!B9)),"Required",IF(COUNTIF('Trigger Screen'!C4:C10,"Unknown")&gt;0,"Check trigger","Optional"))</f>
        <v/>
      </c>
      <c r="D11" s="32" t="str"/>
      <c r="E11" s="32" t="str"/>
      <c r="F11" s="32" t="str"/>
      <c r="G11" s="32" t="str"/>
      <c r="H11" s="32" t="str"/>
      <c r="I11" s="35">
        <f>IF(C11="Required",IF(OR(D11="",E11="",G11="",K11="",L11=""),"Unresolved, evidence missing",IF(G11&lt;0,"Failed under stress","Pass")),IF(C11="Check trigger","Check trigger unresolved","Not triggered"))</f>
        <v/>
      </c>
      <c r="J11" s="32" t="str"/>
      <c r="K11" s="32" t="str"/>
      <c r="L11" s="32" t="str"/>
    </row>
    <row r="12" ht="39.59999847412109" customHeight="1">
      <c r="A12" s="15" t="inlineStr">
        <is>
          <t>Fuel / deliverability failure</t>
        </is>
      </c>
      <c r="B12" s="15" t="inlineStr">
        <is>
          <t>Behind-the-meter</t>
        </is>
      </c>
      <c r="C12" s="17">
        <f>IF(ISNUMBER(SEARCH("behind-the-meter",'Project Profile'!B9)),"Required",IF(COUNTIF('Trigger Screen'!C4:C10,"Unknown")&gt;0,"Check trigger","Optional"))</f>
        <v/>
      </c>
      <c r="D12" s="32" t="str"/>
      <c r="E12" s="32" t="str"/>
      <c r="F12" s="32" t="str"/>
      <c r="G12" s="32" t="str"/>
      <c r="H12" s="32" t="str"/>
      <c r="I12" s="35">
        <f>IF(C12="Required",IF(OR(D12="",E12="",G12="",K12="",L12=""),"Unresolved, evidence missing",IF(G12&lt;0,"Failed under stress","Pass")),IF(C12="Check trigger","Check trigger unresolved","Not triggered"))</f>
        <v/>
      </c>
      <c r="J12" s="32" t="str"/>
      <c r="K12" s="32" t="str"/>
      <c r="L12" s="32" t="str"/>
    </row>
    <row r="13" ht="15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 ht="15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 ht="15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 ht="15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 ht="15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 ht="15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 ht="15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 ht="15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 ht="15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 ht="15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 ht="15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 ht="15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</sheetData>
  <sheetProtection selectLockedCells="0" selectUnlockedCells="1" sheet="1" objects="0" insertRows="0" insertHyperlinks="1" autoFilter="1" scenarios="0" formatColumns="0" deleteColumns="1" insertColumns="1" pivotTables="1" deleteRows="0" formatCells="1" formatRows="0" sort="1"/>
  <dataValidations count="1">
    <dataValidation sqref="K4:K12" showDropDown="0" showInputMessage="0" showErrorMessage="0" allowBlank="1" type="list">
      <formula1>"Electric Ledger,RTO Capacity,Local Fiscal,Water Env,Credit Collateral,Distributional,Public-welfare transfer"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cols>
    <col width="18.32999992370605" customWidth="1" min="1" max="1"/>
    <col width="18.32999992370605" customWidth="1" min="2" max="2"/>
    <col width="18.32999992370605" customWidth="1" min="3" max="3"/>
    <col width="18.32999992370605" customWidth="1" min="4" max="4"/>
    <col width="18.32999992370605" customWidth="1" min="5" max="5"/>
    <col width="18.32999992370605" customWidth="1" min="6" max="6"/>
    <col width="18.32999992370605" customWidth="1" min="7" max="7"/>
    <col width="18.32999992370605" customWidth="1" min="8" max="8"/>
    <col width="18.32999992370605" customWidth="1" min="9" max="9"/>
    <col width="18.32999992370605" customWidth="1" min="10" max="10"/>
    <col width="18.32999992370605" customWidth="1" min="11" max="11"/>
    <col width="18.32999992370605" customWidth="1" min="12" max="12"/>
    <col width="18.32999992370605" customWidth="1" min="13" max="13"/>
  </cols>
  <sheetData>
    <row r="1" ht="117.5999984741211" customHeight="1">
      <c r="A1" s="4" t="inlineStr">
        <is>
          <t>Evidence Register / Citation Lockdown</t>
        </is>
      </c>
      <c r="B1" s="4" t="str"/>
      <c r="C1" s="4" t="str"/>
      <c r="D1" s="4" t="str"/>
      <c r="E1" s="4" t="str"/>
      <c r="F1" s="4" t="str"/>
      <c r="G1" s="4" t="str"/>
      <c r="H1" s="4" t="str"/>
      <c r="I1" s="4" t="str"/>
      <c r="J1" s="4" t="str"/>
      <c r="K1" s="4" t="str"/>
      <c r="L1" s="4" t="str"/>
      <c r="M1" s="4" t="str"/>
    </row>
    <row r="2" ht="15" customHeight="1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</row>
    <row r="3" ht="52.79999923706055" customHeight="1">
      <c r="A3" s="8" t="inlineStr">
        <is>
          <t>Evidence ID</t>
        </is>
      </c>
      <c r="B3" s="8" t="inlineStr">
        <is>
          <t>Ledger sheet</t>
        </is>
      </c>
      <c r="C3" s="8" t="inlineStr">
        <is>
          <t>Ledger line</t>
        </is>
      </c>
      <c r="D3" s="8" t="inlineStr">
        <is>
          <t>Claim</t>
        </is>
      </c>
      <c r="E3" s="8" t="inlineStr">
        <is>
          <t>Source URL / docket</t>
        </is>
      </c>
      <c r="F3" s="8" t="inlineStr">
        <is>
          <t>Evidence type</t>
        </is>
      </c>
      <c r="G3" s="8" t="inlineStr">
        <is>
          <t>Page / table / order pin</t>
        </is>
      </c>
      <c r="H3" s="8" t="inlineStr">
        <is>
          <t>Status as of date</t>
        </is>
      </c>
      <c r="I3" s="8" t="inlineStr">
        <is>
          <t>Used for</t>
        </is>
      </c>
      <c r="J3" s="8" t="inlineStr">
        <is>
          <t>Pin status</t>
        </is>
      </c>
      <c r="K3" s="8" t="inlineStr">
        <is>
          <t>Substantive evidence status</t>
        </is>
      </c>
      <c r="L3" s="8" t="inlineStr">
        <is>
          <t>Notes</t>
        </is>
      </c>
      <c r="M3" s="8" t="inlineStr">
        <is>
          <t>Confidence</t>
        </is>
      </c>
    </row>
    <row r="4" ht="105.5999984741211" customHeight="1">
      <c r="A4" s="15" t="inlineStr">
        <is>
          <t>EV-001</t>
        </is>
      </c>
      <c r="B4" s="32" t="str"/>
      <c r="C4" s="32" t="str"/>
      <c r="D4" s="32" t="inlineStr">
        <is>
          <t>IEA 415 / 945 TWh</t>
        </is>
      </c>
      <c r="E4" s="32" t="inlineStr">
        <is>
          <t>https://www.iea.org/reports/energy-and-ai/executive-summary</t>
        </is>
      </c>
      <c r="F4" s="32" t="inlineStr">
        <is>
          <t>Official report</t>
        </is>
      </c>
      <c r="G4" s="32" t="inlineStr">
        <is>
          <t>Executive summary sections on 2024 data-center demand and 2030 projection</t>
        </is>
      </c>
      <c r="H4" s="32" t="inlineStr">
        <is>
          <t>May 22, 2026</t>
        </is>
      </c>
      <c r="I4" s="32" t="inlineStr">
        <is>
          <t>Demand framing</t>
        </is>
      </c>
      <c r="J4" s="32" t="inlineStr">
        <is>
          <t>Pinned</t>
        </is>
      </c>
      <c r="K4" s="32" t="inlineStr">
        <is>
          <t>Public</t>
        </is>
      </c>
      <c r="L4" s="32" t="str"/>
      <c r="M4" s="32" t="inlineStr">
        <is>
          <t>High</t>
        </is>
      </c>
    </row>
    <row r="5" ht="105.5999984741211" customHeight="1">
      <c r="A5" s="15" t="inlineStr">
        <is>
          <t>EV-002</t>
        </is>
      </c>
      <c r="B5" s="32" t="str"/>
      <c r="C5" s="32" t="str"/>
      <c r="D5" s="32" t="inlineStr">
        <is>
          <t>LBNL 176 / 325-580 TWh</t>
        </is>
      </c>
      <c r="E5" s="32" t="inlineStr">
        <is>
          <t>https://buildings.lbl.gov/publications/2024-lbnl-data-center-energy-usage-report</t>
        </is>
      </c>
      <c r="F5" s="32" t="inlineStr">
        <is>
          <t>National lab report</t>
        </is>
      </c>
      <c r="G5" s="32" t="inlineStr">
        <is>
          <t>Executive summary page 6; Figure 5.5 / page 51</t>
        </is>
      </c>
      <c r="H5" s="32" t="inlineStr">
        <is>
          <t>May 22, 2026</t>
        </is>
      </c>
      <c r="I5" s="32" t="inlineStr">
        <is>
          <t>U.S. demand framing</t>
        </is>
      </c>
      <c r="J5" s="32" t="inlineStr">
        <is>
          <t>Pinned</t>
        </is>
      </c>
      <c r="K5" s="32" t="inlineStr">
        <is>
          <t>Public</t>
        </is>
      </c>
      <c r="L5" s="32" t="inlineStr">
        <is>
          <t>Add extracted PDF table if filing.</t>
        </is>
      </c>
      <c r="M5" s="32" t="inlineStr">
        <is>
          <t>High</t>
        </is>
      </c>
    </row>
    <row r="6" ht="396" customHeight="1">
      <c r="A6" s="15" t="inlineStr">
        <is>
          <t>EV-003</t>
        </is>
      </c>
      <c r="B6" s="32" t="str"/>
      <c r="C6" s="32" t="str"/>
      <c r="D6" s="32" t="inlineStr">
        <is>
          <t>Monitoring Analytics $16.6B / $23.1B</t>
        </is>
      </c>
      <c r="E6" s="32" t="inlineStr">
        <is>
          <t>https://www.monitoringanalytics.com/reports/Reports/2025/IMM_Analysis_of_the_20262027_RPM_Base_Residual_Auction_Part_A_20251001.pdf ; https://www.monitoringanalytics.com/reports/Reports/2026/IMM_Analysis_of_the_20272028_RPM_Base_Residual_Auction_Part_A_20260105.pdf</t>
        </is>
      </c>
      <c r="F6" s="32" t="inlineStr">
        <is>
          <t>Market monitor</t>
        </is>
      </c>
      <c r="G6" s="32" t="inlineStr">
        <is>
          <t>2026/2027 Part A pp. 2-3; 2027/2028 Part A pp. 20, 23 / Table 11</t>
        </is>
      </c>
      <c r="H6" s="32" t="inlineStr">
        <is>
          <t>May 22, 2026</t>
        </is>
      </c>
      <c r="I6" s="32" t="inlineStr">
        <is>
          <t>Market-level counterfactual</t>
        </is>
      </c>
      <c r="J6" s="32" t="inlineStr">
        <is>
          <t>Pinned</t>
        </is>
      </c>
      <c r="K6" s="32" t="inlineStr">
        <is>
          <t>Public</t>
        </is>
      </c>
      <c r="L6" s="32" t="inlineStr">
        <is>
          <t>Market pathway, not project bill.</t>
        </is>
      </c>
      <c r="M6" s="32" t="inlineStr">
        <is>
          <t>High</t>
        </is>
      </c>
    </row>
    <row r="7" ht="92.40000152587891" customHeight="1">
      <c r="A7" s="15" t="inlineStr">
        <is>
          <t>EV-004</t>
        </is>
      </c>
      <c r="B7" s="32" t="str"/>
      <c r="C7" s="32" t="str"/>
      <c r="D7" s="32" t="inlineStr">
        <is>
          <t>AEP Schedule DCT terms</t>
        </is>
      </c>
      <c r="E7" s="32" t="inlineStr">
        <is>
          <t>https://www.aepohio.com/company/about/rates/data-center-tariff/</t>
        </is>
      </c>
      <c r="F7" s="32" t="inlineStr">
        <is>
          <t>Utility tariff / official page</t>
        </is>
      </c>
      <c r="G7" s="32" t="inlineStr">
        <is>
          <t>Important Tariff Information sections</t>
        </is>
      </c>
      <c r="H7" s="32" t="inlineStr">
        <is>
          <t>May 22, 2026</t>
        </is>
      </c>
      <c r="I7" s="32" t="inlineStr">
        <is>
          <t>Case snapshot</t>
        </is>
      </c>
      <c r="J7" s="32" t="inlineStr">
        <is>
          <t>Pinned</t>
        </is>
      </c>
      <c r="K7" s="32" t="inlineStr">
        <is>
          <t>Public</t>
        </is>
      </c>
      <c r="L7" s="32" t="inlineStr">
        <is>
          <t>Add tariff sheet/docket for filing.</t>
        </is>
      </c>
      <c r="M7" s="32" t="inlineStr">
        <is>
          <t>Medium</t>
        </is>
      </c>
    </row>
    <row r="8" ht="277.2000122070312" customHeight="1">
      <c r="A8" s="15" t="inlineStr">
        <is>
          <t>EV-005</t>
        </is>
      </c>
      <c r="B8" s="32" t="str"/>
      <c r="C8" s="32" t="str"/>
      <c r="D8" s="32" t="inlineStr">
        <is>
          <t>Virginia GS-5 terms</t>
        </is>
      </c>
      <c r="E8" s="32" t="inlineStr">
        <is>
          <t>https://www.scc.virginia.gov/about-the-scc/newsreleases/release/scc-issues-order-on-dev-biennial-review-2025/scc-rules-in-dev-biennial-review-case.html ; https://www.scc.virginia.gov/about-the-scc/scc-facts/</t>
        </is>
      </c>
      <c r="F8" s="32" t="inlineStr">
        <is>
          <t>SCC release / facts page</t>
        </is>
      </c>
      <c r="G8" s="32" t="inlineStr">
        <is>
          <t>Release for 25 MW, 85/60 floors, effective date; facts page for 14-year obligation</t>
        </is>
      </c>
      <c r="H8" s="32" t="inlineStr">
        <is>
          <t>May 22, 2026</t>
        </is>
      </c>
      <c r="I8" s="32" t="inlineStr">
        <is>
          <t>Case snapshot</t>
        </is>
      </c>
      <c r="J8" s="32" t="inlineStr">
        <is>
          <t>Needs legal pin</t>
        </is>
      </c>
      <c r="K8" s="32" t="inlineStr">
        <is>
          <t>Public</t>
        </is>
      </c>
      <c r="L8" s="32" t="inlineStr">
        <is>
          <t>Add final order paragraph/page before filing.</t>
        </is>
      </c>
      <c r="M8" s="32" t="inlineStr">
        <is>
          <t>Medium</t>
        </is>
      </c>
    </row>
    <row r="9" ht="435.6000061035156" customHeight="1">
      <c r="A9" s="15" t="inlineStr">
        <is>
          <t>EV-006</t>
        </is>
      </c>
      <c r="B9" s="32" t="str"/>
      <c r="C9" s="32" t="str"/>
      <c r="D9" s="32" t="inlineStr">
        <is>
          <t>PJM RBP / connect-and-manage status</t>
        </is>
      </c>
      <c r="E9" s="32" t="inlineStr">
        <is>
          <t>https://www.pjm.com/-/media/DotCom/committees-groups/workshops/rbpw/2026/20260218/20260218-item-03---pjm-reliability-backstop-design-working-paper.pdf ; https://www.pjm.com/-/media/DotCom/committees-groups/cifp-rbp/2026/20260416/20260416-item-05---pjm-reliability-backstop-procurement-design---pjm-presentation.pdf</t>
        </is>
      </c>
      <c r="F9" s="32" t="inlineStr">
        <is>
          <t>RTO materials / status reporting</t>
        </is>
      </c>
      <c r="G9" s="32" t="inlineStr">
        <is>
          <t>Working paper p. 4; design presentation pp. 8-10, 20-21</t>
        </is>
      </c>
      <c r="H9" s="32" t="inlineStr">
        <is>
          <t>May 22, 2026</t>
        </is>
      </c>
      <c r="I9" s="32" t="inlineStr">
        <is>
          <t>Live status</t>
        </is>
      </c>
      <c r="J9" s="32" t="inlineStr">
        <is>
          <t>Needs update</t>
        </is>
      </c>
      <c r="K9" s="32" t="inlineStr">
        <is>
          <t>Public</t>
        </is>
      </c>
      <c r="L9" s="32" t="inlineStr">
        <is>
          <t>Update before filing or citation.</t>
        </is>
      </c>
      <c r="M9" s="32" t="inlineStr">
        <is>
          <t>Medium</t>
        </is>
      </c>
    </row>
    <row r="10" ht="105.5999984741211" customHeight="1">
      <c r="A10" s="15" t="inlineStr">
        <is>
          <t>EV-007</t>
        </is>
      </c>
      <c r="B10" s="32" t="str"/>
      <c r="C10" s="32" t="str"/>
      <c r="D10" s="32" t="inlineStr">
        <is>
          <t>E3 / Amazon surplus study</t>
        </is>
      </c>
      <c r="E10" s="32" t="inlineStr">
        <is>
          <t>https://www.ethree.com/wp-content/uploads/2025/12/RatepayerStudy.pdf</t>
        </is>
      </c>
      <c r="F10" s="32" t="inlineStr">
        <is>
          <t>Sponsored study</t>
        </is>
      </c>
      <c r="G10" s="32" t="inlineStr">
        <is>
          <t>Sponsor/data/scope disclosures and surplus case pages</t>
        </is>
      </c>
      <c r="H10" s="32" t="inlineStr">
        <is>
          <t>May 22, 2026</t>
        </is>
      </c>
      <c r="I10" s="32" t="inlineStr">
        <is>
          <t>Supporter countercase</t>
        </is>
      </c>
      <c r="J10" s="32" t="inlineStr">
        <is>
          <t>Needs pin</t>
        </is>
      </c>
      <c r="K10" s="32" t="inlineStr">
        <is>
          <t>Proxy</t>
        </is>
      </c>
      <c r="L10" s="32" t="inlineStr">
        <is>
          <t>Verify current URL and report pages.</t>
        </is>
      </c>
      <c r="M10" s="32" t="inlineStr">
        <is>
          <t>Proxy</t>
        </is>
      </c>
    </row>
    <row r="11" ht="132" customHeight="1">
      <c r="A11" s="15" t="inlineStr">
        <is>
          <t>EV-008</t>
        </is>
      </c>
      <c r="B11" s="32" t="str"/>
      <c r="C11" s="32" t="str"/>
      <c r="D11" s="32" t="inlineStr">
        <is>
          <t>White House pledge</t>
        </is>
      </c>
      <c r="E11" s="32" t="inlineStr">
        <is>
          <t>https://www.whitehouse.gov/releases/2026/03/ratepayer-protection-pledge/</t>
        </is>
      </c>
      <c r="F11" s="32" t="inlineStr">
        <is>
          <t>Federal pledge</t>
        </is>
      </c>
      <c r="G11" s="32" t="inlineStr">
        <is>
          <t>Pledge text: build/bring/buy, infrastructure payment, separate rate structures</t>
        </is>
      </c>
      <c r="H11" s="32" t="inlineStr">
        <is>
          <t>May 22, 2026</t>
        </is>
      </c>
      <c r="I11" s="32" t="inlineStr">
        <is>
          <t>Pledge-to-instrument audit</t>
        </is>
      </c>
      <c r="J11" s="32" t="inlineStr">
        <is>
          <t>Pinned</t>
        </is>
      </c>
      <c r="K11" s="32" t="inlineStr">
        <is>
          <t>Public</t>
        </is>
      </c>
      <c r="L11" s="32" t="inlineStr">
        <is>
          <t>Political pledge; legal instrument still required.</t>
        </is>
      </c>
      <c r="M11" s="32" t="inlineStr">
        <is>
          <t>Medium</t>
        </is>
      </c>
    </row>
    <row r="12" ht="52.79999923706055" customHeight="1">
      <c r="A12" s="15" t="inlineStr">
        <is>
          <t>EV-009</t>
        </is>
      </c>
      <c r="B12" s="32" t="str"/>
      <c r="C12" s="32" t="str"/>
      <c r="D12" s="32" t="inlineStr">
        <is>
          <t>Local fiscal / water agreement</t>
        </is>
      </c>
      <c r="E12" s="32" t="str"/>
      <c r="F12" s="32" t="inlineStr">
        <is>
          <t>Local public record</t>
        </is>
      </c>
      <c r="G12" s="32" t="str"/>
      <c r="H12" s="32" t="str"/>
      <c r="I12" s="32" t="inlineStr">
        <is>
          <t>Local ledger</t>
        </is>
      </c>
      <c r="J12" s="32" t="inlineStr">
        <is>
          <t>Missing</t>
        </is>
      </c>
      <c r="K12" s="32" t="inlineStr">
        <is>
          <t>Missing</t>
        </is>
      </c>
      <c r="L12" s="32" t="inlineStr">
        <is>
          <t>Project-specific evidence required.</t>
        </is>
      </c>
      <c r="M12" s="32" t="inlineStr">
        <is>
          <t>Missing</t>
        </is>
      </c>
    </row>
    <row r="13" ht="52.79999923706055" customHeight="1">
      <c r="A13" s="15" t="inlineStr">
        <is>
          <t>EV-010</t>
        </is>
      </c>
      <c r="B13" s="32" t="str"/>
      <c r="C13" s="32" t="str"/>
      <c r="D13" s="32" t="inlineStr">
        <is>
          <t>Credit support / guarantee</t>
        </is>
      </c>
      <c r="E13" s="32" t="str"/>
      <c r="F13" s="32" t="inlineStr">
        <is>
          <t>Protected contract</t>
        </is>
      </c>
      <c r="G13" s="32" t="str"/>
      <c r="H13" s="32" t="str"/>
      <c r="I13" s="32" t="inlineStr">
        <is>
          <t>Credit ledger</t>
        </is>
      </c>
      <c r="J13" s="32" t="inlineStr">
        <is>
          <t>Missing</t>
        </is>
      </c>
      <c r="K13" s="32" t="inlineStr">
        <is>
          <t>Missing</t>
        </is>
      </c>
      <c r="L13" s="32" t="inlineStr">
        <is>
          <t>Project-specific evidence required.</t>
        </is>
      </c>
      <c r="M13" s="32" t="inlineStr">
        <is>
          <t>Missing</t>
        </is>
      </c>
    </row>
    <row r="14" ht="15" customHeight="1">
      <c r="A14" s="15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</row>
    <row r="15" ht="15" customHeight="1">
      <c r="A15" s="15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</row>
    <row r="16" ht="15" customHeight="1">
      <c r="A16" s="15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</row>
    <row r="17" ht="15" customHeight="1">
      <c r="A17" s="15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</row>
    <row r="18" ht="15" customHeight="1">
      <c r="A18" s="15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</row>
    <row r="19" ht="15" customHeight="1">
      <c r="A19" s="15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</row>
    <row r="20" ht="15" customHeight="1">
      <c r="A20" s="15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</row>
    <row r="21"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</row>
    <row r="22"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</row>
    <row r="23"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</row>
    <row r="24"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</row>
    <row r="25"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</row>
    <row r="26"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</row>
    <row r="27"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</row>
    <row r="28"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</row>
    <row r="32"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</row>
    <row r="33"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</row>
    <row r="34"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</row>
    <row r="35"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</row>
    <row r="36"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</row>
    <row r="37"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</row>
    <row r="38"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</row>
    <row r="39"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</row>
    <row r="40"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</row>
    <row r="41"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</row>
    <row r="42"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</row>
    <row r="43"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</row>
    <row r="44"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</row>
    <row r="45"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</row>
    <row r="46"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</row>
    <row r="47"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</row>
    <row r="48"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</row>
    <row r="49"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</row>
    <row r="50"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</row>
    <row r="51"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</row>
    <row r="52"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</row>
    <row r="53"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</row>
    <row r="56"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</row>
    <row r="57"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</row>
    <row r="58"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</row>
    <row r="59"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</row>
    <row r="60"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</row>
  </sheetData>
  <sheetProtection selectLockedCells="0" selectUnlockedCells="1" sheet="1" objects="0" insertRows="0" insertHyperlinks="1" autoFilter="1" scenarios="0" formatColumns="0" deleteColumns="1" insertColumns="1" pivotTables="1" deleteRows="0" formatCells="1" formatRows="0" sort="1"/>
  <dataValidations count="3">
    <dataValidation sqref="J4:J60" showDropDown="0" showInputMessage="0" showErrorMessage="0" allowBlank="1" type="list">
      <formula1>"Pinned,Confidential-reviewable,Needs page pin,Needs legal pin,Needs update,Needs pin,Missing"</formula1>
    </dataValidation>
    <dataValidation sqref="K4:K60" showDropDown="0" showInputMessage="0" showErrorMessage="0" allowBlank="1" type="list">
      <formula1>"Public,Confidential-reviewable,Proxy,Missing,Contested"</formula1>
    </dataValidation>
    <dataValidation sqref="M4:M60" showDropDown="0" showInputMessage="0" showErrorMessage="0" allowBlank="1" type="list">
      <formula1>"High,Medium,Proxy,Missing,Contested"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1.11000061035156" customWidth="1" min="1" max="1"/>
    <col width="21.11000061035156" customWidth="1" min="2" max="2"/>
    <col width="21.11000061035156" customWidth="1" min="3" max="3"/>
    <col width="21.11000061035156" customWidth="1" min="4" max="4"/>
    <col width="21.11000061035156" customWidth="1" min="5" max="5"/>
    <col width="21.11000061035156" customWidth="1" min="6" max="6"/>
    <col width="21.11000061035156" customWidth="1" min="7" max="7"/>
    <col width="21.11000061035156" customWidth="1" min="8" max="8"/>
  </cols>
  <sheetData>
    <row r="1" ht="33.59999847412109" customHeight="1">
      <c r="A1" s="4" t="inlineStr">
        <is>
          <t>Controlled Lists</t>
        </is>
      </c>
      <c r="B1" s="4" t="str"/>
      <c r="C1" s="4" t="str"/>
      <c r="D1" s="4" t="str"/>
      <c r="E1" s="4" t="str"/>
      <c r="F1" s="4" t="str"/>
      <c r="G1" s="4" t="str"/>
      <c r="H1" s="4" t="str"/>
    </row>
    <row r="2" ht="15" customHeight="1">
      <c r="A2" s="15" t="n"/>
      <c r="B2" s="15" t="n"/>
      <c r="C2" s="15" t="n"/>
      <c r="D2" s="15" t="n"/>
      <c r="E2" s="15" t="n"/>
      <c r="F2" s="15" t="n"/>
      <c r="G2" s="15" t="n"/>
      <c r="H2" s="15" t="n"/>
    </row>
    <row r="3" ht="26.39999961853027" customHeight="1">
      <c r="A3" s="8" t="inlineStr">
        <is>
          <t>Applicability</t>
        </is>
      </c>
      <c r="B3" s="8" t="inlineStr">
        <is>
          <t>Y/N/Unknown</t>
        </is>
      </c>
      <c r="C3" s="8" t="inlineStr">
        <is>
          <t>Evidence status</t>
        </is>
      </c>
      <c r="D3" s="8" t="inlineStr">
        <is>
          <t>Evidence band</t>
        </is>
      </c>
      <c r="E3" s="8" t="inlineStr">
        <is>
          <t>Pin status</t>
        </is>
      </c>
      <c r="F3" s="8" t="inlineStr">
        <is>
          <t>Confidence</t>
        </is>
      </c>
      <c r="G3" s="8" t="inlineStr">
        <is>
          <t>Origin ledger</t>
        </is>
      </c>
      <c r="H3" s="8" t="inlineStr">
        <is>
          <t>Project type</t>
        </is>
      </c>
    </row>
    <row r="4" ht="26.39999961853027" customHeight="1">
      <c r="A4" s="15" t="inlineStr">
        <is>
          <t>Triggered</t>
        </is>
      </c>
      <c r="B4" s="15" t="inlineStr">
        <is>
          <t>Y</t>
        </is>
      </c>
      <c r="C4" s="15" t="inlineStr">
        <is>
          <t>Public</t>
        </is>
      </c>
      <c r="D4" s="15" t="inlineStr">
        <is>
          <t>Settled cash</t>
        </is>
      </c>
      <c r="E4" s="15" t="inlineStr">
        <is>
          <t>Pinned</t>
        </is>
      </c>
      <c r="F4" s="15" t="inlineStr">
        <is>
          <t>High</t>
        </is>
      </c>
      <c r="G4" s="15" t="inlineStr">
        <is>
          <t>Electric Ledger</t>
        </is>
      </c>
      <c r="H4" s="15" t="inlineStr">
        <is>
          <t>Hyperscaler owned</t>
        </is>
      </c>
    </row>
    <row r="5" ht="39.59999847412109" customHeight="1">
      <c r="A5" s="15" t="inlineStr">
        <is>
          <t>Not triggered</t>
        </is>
      </c>
      <c r="B5" s="15" t="inlineStr">
        <is>
          <t>N</t>
        </is>
      </c>
      <c r="C5" s="15" t="inlineStr">
        <is>
          <t>Confidential-reviewable</t>
        </is>
      </c>
      <c r="D5" s="15" t="inlineStr">
        <is>
          <t>Callable secured credit</t>
        </is>
      </c>
      <c r="E5" s="15" t="inlineStr">
        <is>
          <t>Confidential-reviewable</t>
        </is>
      </c>
      <c r="F5" s="15" t="inlineStr">
        <is>
          <t>Medium</t>
        </is>
      </c>
      <c r="G5" s="15" t="inlineStr">
        <is>
          <t>RTO Capacity</t>
        </is>
      </c>
      <c r="H5" s="15" t="inlineStr">
        <is>
          <t>Colo lease</t>
        </is>
      </c>
    </row>
    <row r="6" ht="39.59999847412109" customHeight="1">
      <c r="A6" s="15" t="inlineStr">
        <is>
          <t>Not applicable</t>
        </is>
      </c>
      <c r="B6" s="15" t="inlineStr">
        <is>
          <t>Unknown</t>
        </is>
      </c>
      <c r="C6" s="15" t="inlineStr">
        <is>
          <t>Proxy</t>
        </is>
      </c>
      <c r="D6" s="15" t="inlineStr">
        <is>
          <t>Enforceable scoped promise</t>
        </is>
      </c>
      <c r="E6" s="15" t="inlineStr">
        <is>
          <t>Needs page pin</t>
        </is>
      </c>
      <c r="F6" s="15" t="inlineStr">
        <is>
          <t>Proxy</t>
        </is>
      </c>
      <c r="G6" s="15" t="inlineStr">
        <is>
          <t>Local Fiscal</t>
        </is>
      </c>
      <c r="H6" s="15" t="inlineStr">
        <is>
          <t>Speculative developer</t>
        </is>
      </c>
    </row>
    <row r="7" ht="26.39999961853027" customHeight="1">
      <c r="A7" s="15" t="inlineStr">
        <is>
          <t>Unknown</t>
        </is>
      </c>
      <c r="B7" s="15" t="str"/>
      <c r="C7" s="15" t="inlineStr">
        <is>
          <t>Missing</t>
        </is>
      </c>
      <c r="D7" s="15" t="inlineStr">
        <is>
          <t>Unsecured promise</t>
        </is>
      </c>
      <c r="E7" s="15" t="inlineStr">
        <is>
          <t>Needs legal pin</t>
        </is>
      </c>
      <c r="F7" s="15" t="inlineStr">
        <is>
          <t>Missing</t>
        </is>
      </c>
      <c r="G7" s="15" t="inlineStr">
        <is>
          <t>Water Env</t>
        </is>
      </c>
      <c r="H7" s="15" t="inlineStr">
        <is>
          <t>Behind-the-meter</t>
        </is>
      </c>
    </row>
    <row r="8" ht="39.59999847412109" customHeight="1">
      <c r="A8" s="15" t="str"/>
      <c r="B8" s="15" t="str"/>
      <c r="C8" s="15" t="inlineStr">
        <is>
          <t>Contested</t>
        </is>
      </c>
      <c r="D8" s="15" t="inlineStr">
        <is>
          <t>Narrative-only promise</t>
        </is>
      </c>
      <c r="E8" s="15" t="inlineStr">
        <is>
          <t>Needs update</t>
        </is>
      </c>
      <c r="F8" s="15" t="inlineStr">
        <is>
          <t>Contested</t>
        </is>
      </c>
      <c r="G8" s="15" t="inlineStr">
        <is>
          <t>Credit Collateral</t>
        </is>
      </c>
      <c r="H8" s="15" t="inlineStr">
        <is>
          <t>Flexible load</t>
        </is>
      </c>
    </row>
    <row r="9" ht="52.79999923706055" customHeight="1">
      <c r="A9" s="15" t="str"/>
      <c r="B9" s="15" t="str"/>
      <c r="C9" s="15" t="str"/>
      <c r="D9" s="15" t="inlineStr">
        <is>
          <t>Unaccredited performance claim</t>
        </is>
      </c>
      <c r="E9" s="15" t="inlineStr">
        <is>
          <t>Needs pin</t>
        </is>
      </c>
      <c r="F9" s="15" t="str"/>
      <c r="G9" s="15" t="inlineStr">
        <is>
          <t>Distributional</t>
        </is>
      </c>
      <c r="H9" s="15" t="inlineStr">
        <is>
          <t>Phased affiliate campus</t>
        </is>
      </c>
    </row>
    <row r="10" ht="52.79999923706055" customHeight="1">
      <c r="A10" s="15" t="str"/>
      <c r="B10" s="15" t="str"/>
      <c r="C10" s="15" t="str"/>
      <c r="D10" s="15" t="inlineStr">
        <is>
          <t>Strong / Medium / Proxy / Unknown</t>
        </is>
      </c>
      <c r="E10" s="15" t="inlineStr">
        <is>
          <t>Missing</t>
        </is>
      </c>
      <c r="F10" s="15" t="str"/>
      <c r="G10" s="15" t="inlineStr">
        <is>
          <t>Public-welfare transfer</t>
        </is>
      </c>
      <c r="H10" s="15" t="inlineStr">
        <is>
          <t>Public power / co-op served</t>
        </is>
      </c>
    </row>
    <row r="11" ht="15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 ht="15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 ht="15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 ht="15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 ht="15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 ht="15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 ht="15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 ht="15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 ht="15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 ht="15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</row>
  </sheetData>
  <sheetProtection selectLockedCells="0" selectUnlockedCells="1" sheet="1" objects="0" insertRows="0" insertHyperlinks="1" autoFilter="1" scenarios="0" formatColumns="0" deleteColumns="1" insertColumns="1" pivotTables="1" deleteRows="0" formatCells="1" formatRows="0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2026-05-22T16:02:38Z</dcterms:created>
  <dcterms:modified xmlns:dcterms="http://purl.org/dc/terms/" xmlns:xsi="http://www.w3.org/2001/XMLSchema-instance" xsi:type="dcterms:W3CDTF">2026-05-22T16:02:38Z</dcterms:modified>
</cp:coreProperties>
</file>